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463982\Desktop\"/>
    </mc:Choice>
  </mc:AlternateContent>
  <xr:revisionPtr revIDLastSave="0" documentId="13_ncr:1_{9DC1D449-A377-479A-8F82-5BACDCAFF459}" xr6:coauthVersionLast="47" xr6:coauthVersionMax="47" xr10:uidLastSave="{00000000-0000-0000-0000-000000000000}"/>
  <bookViews>
    <workbookView xWindow="-120" yWindow="-120" windowWidth="38640" windowHeight="21120" activeTab="4" xr2:uid="{B31B47D8-2A92-4255-A499-F4E425ED4CA6}"/>
  </bookViews>
  <sheets>
    <sheet name="CHI_Core_CSU_ALL" sheetId="1" r:id="rId1"/>
    <sheet name="CHI CSU_SoC_Opcode" sheetId="2" r:id="rId2"/>
    <sheet name="CHI CSU_SoC_ReqFlit field" sheetId="3" r:id="rId3"/>
    <sheet name="CHI CSU_SoC_RspFlit field" sheetId="4" r:id="rId4"/>
    <sheet name="CHI CSU_SoC_SnpFlit field" sheetId="5" r:id="rId5"/>
    <sheet name="CHI CSU_SoC_DataFlit field" sheetId="6" r:id="rId6"/>
  </sheets>
  <definedNames>
    <definedName name="a">#REF!</definedName>
    <definedName name="iex_ooo_fig_1">#REF!</definedName>
    <definedName name="iex_ooo_fig_11">#REF!</definedName>
    <definedName name="iex_ooo_fig_12">#REF!</definedName>
    <definedName name="iex_ooo_fig_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1" i="6" l="1"/>
  <c r="D72" i="6" s="1"/>
  <c r="C72" i="6" s="1"/>
  <c r="D73" i="6" s="1"/>
  <c r="C73" i="6" s="1"/>
  <c r="D74" i="6" s="1"/>
  <c r="C74" i="6" s="1"/>
  <c r="C70" i="6"/>
  <c r="C35" i="6"/>
  <c r="D36" i="6" s="1"/>
  <c r="C36" i="6" s="1"/>
  <c r="D37" i="6" s="1"/>
  <c r="C37" i="6" s="1"/>
  <c r="D38" i="6" s="1"/>
  <c r="C38" i="6" s="1"/>
  <c r="C34" i="6"/>
  <c r="C6" i="6"/>
  <c r="D7" i="6" s="1"/>
  <c r="C7" i="6" s="1"/>
  <c r="D8" i="6" s="1"/>
  <c r="C8" i="6" s="1"/>
  <c r="D9" i="6" s="1"/>
  <c r="C9" i="6" s="1"/>
  <c r="D10" i="6" s="1"/>
  <c r="C10" i="6" s="1"/>
  <c r="D11" i="6" s="1"/>
  <c r="C11" i="6" s="1"/>
  <c r="D12" i="6" s="1"/>
  <c r="C12" i="6" s="1"/>
  <c r="D13" i="6" s="1"/>
  <c r="C13" i="6" s="1"/>
  <c r="D14" i="6" s="1"/>
  <c r="C14" i="6" s="1"/>
  <c r="D15" i="6" s="1"/>
  <c r="C15" i="6" s="1"/>
  <c r="D16" i="6" s="1"/>
  <c r="C16" i="6" s="1"/>
  <c r="D17" i="6" s="1"/>
  <c r="C17" i="6" s="1"/>
  <c r="C4" i="6"/>
  <c r="D5" i="6" s="1"/>
  <c r="C5" i="6" s="1"/>
  <c r="C3" i="6"/>
  <c r="D11" i="5"/>
  <c r="C11" i="5" s="1"/>
  <c r="C4" i="5"/>
  <c r="D5" i="5" s="1"/>
  <c r="C5" i="5" s="1"/>
  <c r="D6" i="5" s="1"/>
  <c r="C6" i="5" s="1"/>
  <c r="D7" i="5" s="1"/>
  <c r="C7" i="5" s="1"/>
  <c r="C3" i="5"/>
  <c r="C28" i="4"/>
  <c r="D29" i="4" s="1"/>
  <c r="C29" i="4" s="1"/>
  <c r="D30" i="4" s="1"/>
  <c r="C30" i="4" s="1"/>
  <c r="D31" i="4" s="1"/>
  <c r="C31" i="4" s="1"/>
  <c r="D32" i="4" s="1"/>
  <c r="C32" i="4" s="1"/>
  <c r="D33" i="4" s="1"/>
  <c r="C33" i="4" s="1"/>
  <c r="C27" i="4"/>
  <c r="C26" i="4"/>
  <c r="C4" i="4"/>
  <c r="D5" i="4" s="1"/>
  <c r="C5" i="4" s="1"/>
  <c r="D6" i="4" s="1"/>
  <c r="C6" i="4" s="1"/>
  <c r="D7" i="4" s="1"/>
  <c r="C7" i="4" s="1"/>
  <c r="D8" i="4" s="1"/>
  <c r="C8" i="4" s="1"/>
  <c r="D9" i="4" s="1"/>
  <c r="C9" i="4" s="1"/>
  <c r="C3" i="4"/>
  <c r="C3" i="3"/>
  <c r="D5" i="3" s="1"/>
  <c r="C5" i="3" s="1"/>
  <c r="D6" i="3" s="1"/>
  <c r="C6" i="3" s="1"/>
  <c r="D173" i="1"/>
  <c r="B173" i="1"/>
  <c r="C164" i="1"/>
  <c r="D165" i="1" s="1"/>
  <c r="C165" i="1" s="1"/>
  <c r="D166" i="1" s="1"/>
  <c r="C166" i="1" s="1"/>
  <c r="C173" i="1" s="1"/>
  <c r="B158" i="1"/>
  <c r="C158" i="1" s="1"/>
  <c r="C144" i="1"/>
  <c r="D145" i="1" s="1"/>
  <c r="C145" i="1" s="1"/>
  <c r="D146" i="1" s="1"/>
  <c r="C146" i="1" s="1"/>
  <c r="D147" i="1" s="1"/>
  <c r="C147" i="1" s="1"/>
  <c r="D148" i="1" s="1"/>
  <c r="C148" i="1" s="1"/>
  <c r="D149" i="1" s="1"/>
  <c r="C149" i="1" s="1"/>
  <c r="D150" i="1" s="1"/>
  <c r="C150" i="1" s="1"/>
  <c r="D154" i="1" s="1"/>
  <c r="C154" i="1" s="1"/>
  <c r="D155" i="1" s="1"/>
  <c r="C155" i="1" s="1"/>
  <c r="D156" i="1" s="1"/>
  <c r="C156" i="1" s="1"/>
  <c r="D157" i="1" s="1"/>
  <c r="C157" i="1" s="1"/>
  <c r="B138" i="1"/>
  <c r="C138" i="1" s="1"/>
  <c r="C137" i="1"/>
  <c r="B132" i="1"/>
  <c r="C132" i="1" s="1"/>
  <c r="C131" i="1"/>
  <c r="B125" i="1"/>
  <c r="C125" i="1" s="1"/>
  <c r="C117" i="1"/>
  <c r="D118" i="1" s="1"/>
  <c r="C118" i="1" s="1"/>
  <c r="D119" i="1" s="1"/>
  <c r="C119" i="1" s="1"/>
  <c r="D120" i="1" s="1"/>
  <c r="C120" i="1" s="1"/>
  <c r="B111" i="1"/>
  <c r="C111" i="1" s="1"/>
  <c r="C94" i="1"/>
  <c r="D95" i="1" s="1"/>
  <c r="C95" i="1" s="1"/>
  <c r="D96" i="1" s="1"/>
  <c r="C96" i="1" s="1"/>
  <c r="D97" i="1" s="1"/>
  <c r="C97" i="1" s="1"/>
  <c r="D98" i="1" s="1"/>
  <c r="C98" i="1" s="1"/>
  <c r="D99" i="1" s="1"/>
  <c r="C99" i="1" s="1"/>
  <c r="D100" i="1" s="1"/>
  <c r="C100" i="1" s="1"/>
  <c r="D101" i="1" s="1"/>
  <c r="C101" i="1" s="1"/>
  <c r="D102" i="1" s="1"/>
  <c r="C102" i="1" s="1"/>
  <c r="D103" i="1" s="1"/>
  <c r="C103" i="1" s="1"/>
  <c r="D104" i="1" s="1"/>
  <c r="C104" i="1" s="1"/>
  <c r="D105" i="1" s="1"/>
  <c r="C105" i="1" s="1"/>
  <c r="D106" i="1" s="1"/>
  <c r="C106" i="1" s="1"/>
  <c r="D107" i="1" s="1"/>
  <c r="C107" i="1" s="1"/>
  <c r="D108" i="1" s="1"/>
  <c r="C108" i="1" s="1"/>
  <c r="D109" i="1" s="1"/>
  <c r="C109" i="1" s="1"/>
  <c r="D110" i="1" s="1"/>
  <c r="C110" i="1" s="1"/>
  <c r="B88" i="1"/>
  <c r="C88" i="1" s="1"/>
  <c r="C74" i="1"/>
  <c r="D75" i="1" s="1"/>
  <c r="C75" i="1" s="1"/>
  <c r="D77" i="1" s="1"/>
  <c r="C77" i="1" s="1"/>
  <c r="D78" i="1" s="1"/>
  <c r="C78" i="1" s="1"/>
  <c r="D79" i="1" s="1"/>
  <c r="C79" i="1" s="1"/>
  <c r="D85" i="1" s="1"/>
  <c r="C85" i="1" s="1"/>
  <c r="D86" i="1" s="1"/>
  <c r="C86" i="1" s="1"/>
  <c r="D87" i="1" s="1"/>
  <c r="C87" i="1" s="1"/>
  <c r="B67" i="1"/>
  <c r="C67" i="1" s="1"/>
  <c r="C54" i="1"/>
  <c r="D55" i="1" s="1"/>
  <c r="C55" i="1" s="1"/>
  <c r="D56" i="1" s="1"/>
  <c r="C56" i="1" s="1"/>
  <c r="D57" i="1" s="1"/>
  <c r="C57" i="1" s="1"/>
  <c r="D58" i="1" s="1"/>
  <c r="C58" i="1" s="1"/>
  <c r="D59" i="1" s="1"/>
  <c r="C59" i="1" s="1"/>
  <c r="D60" i="1" s="1"/>
  <c r="C60" i="1" s="1"/>
  <c r="D61" i="1" s="1"/>
  <c r="C61" i="1" s="1"/>
  <c r="D62" i="1" s="1"/>
  <c r="C62" i="1" s="1"/>
  <c r="D63" i="1" s="1"/>
  <c r="C63" i="1" s="1"/>
  <c r="D64" i="1" s="1"/>
  <c r="C64" i="1" s="1"/>
  <c r="D65" i="1" s="1"/>
  <c r="C65" i="1" s="1"/>
  <c r="D66" i="1" s="1"/>
  <c r="C66" i="1" s="1"/>
  <c r="B48" i="1"/>
  <c r="C48" i="1" s="1"/>
  <c r="C40" i="1"/>
  <c r="D41" i="1" s="1"/>
  <c r="C41" i="1" s="1"/>
  <c r="D42" i="1" s="1"/>
  <c r="C42" i="1" s="1"/>
  <c r="D43" i="1" s="1"/>
  <c r="C43" i="1" s="1"/>
  <c r="D44" i="1" s="1"/>
  <c r="C44" i="1" s="1"/>
  <c r="D47" i="1" s="1"/>
  <c r="C47" i="1" s="1"/>
  <c r="B31" i="1"/>
  <c r="C31" i="1" s="1"/>
  <c r="C4" i="1"/>
  <c r="D6" i="1" s="1"/>
  <c r="C6" i="1" s="1"/>
  <c r="D7" i="1" s="1"/>
  <c r="C7" i="1" s="1"/>
  <c r="D8" i="1" s="1"/>
  <c r="C8" i="1" s="1"/>
  <c r="D9" i="1" s="1"/>
  <c r="C9" i="1" s="1"/>
  <c r="D10" i="1" s="1"/>
  <c r="C10" i="1" s="1"/>
  <c r="D11" i="1" s="1"/>
  <c r="C11" i="1" s="1"/>
  <c r="D12" i="1" s="1"/>
  <c r="C12" i="1" s="1"/>
  <c r="D14" i="1" s="1"/>
  <c r="C14" i="1" s="1"/>
  <c r="D15" i="1" s="1"/>
  <c r="C15" i="1" s="1"/>
  <c r="D16" i="1" s="1"/>
  <c r="C16" i="1" s="1"/>
  <c r="D17" i="1" s="1"/>
  <c r="C17" i="1" s="1"/>
  <c r="D18" i="1" s="1"/>
  <c r="C18" i="1" s="1"/>
  <c r="D19" i="1" s="1"/>
  <c r="C19" i="1" s="1"/>
  <c r="D20" i="1" s="1"/>
  <c r="C20" i="1" s="1"/>
  <c r="D21" i="1" s="1"/>
  <c r="C21" i="1" s="1"/>
  <c r="D22" i="1" s="1"/>
  <c r="C22" i="1" s="1"/>
  <c r="D23" i="1" s="1"/>
  <c r="C23" i="1" s="1"/>
  <c r="D24" i="1" s="1"/>
  <c r="C24" i="1" s="1"/>
  <c r="D25" i="1" s="1"/>
  <c r="C25" i="1" s="1"/>
  <c r="D26" i="1" s="1"/>
  <c r="C26" i="1" s="1"/>
  <c r="D27" i="1" s="1"/>
  <c r="C27" i="1" s="1"/>
  <c r="D29" i="1" s="1"/>
  <c r="C29" i="1" s="1"/>
  <c r="D19" i="6" l="1"/>
  <c r="C19" i="6" s="1"/>
  <c r="D20" i="6" s="1"/>
  <c r="C20" i="6" s="1"/>
  <c r="D18" i="6"/>
  <c r="C18" i="6" s="1"/>
  <c r="D21" i="6"/>
  <c r="C21" i="6" s="1"/>
  <c r="D39" i="6"/>
  <c r="C39" i="6" s="1"/>
  <c r="D40" i="6" s="1"/>
  <c r="C40" i="6" s="1"/>
  <c r="D41" i="6"/>
  <c r="C41" i="6" s="1"/>
  <c r="D42" i="6" s="1"/>
  <c r="C42" i="6" s="1"/>
  <c r="D43" i="6" s="1"/>
  <c r="C43" i="6" s="1"/>
  <c r="D75" i="6"/>
  <c r="C75" i="6" s="1"/>
  <c r="D76" i="6" s="1"/>
  <c r="C76" i="6" s="1"/>
  <c r="D77" i="6"/>
  <c r="C77" i="6" s="1"/>
  <c r="D78" i="6" s="1"/>
  <c r="C78" i="6" s="1"/>
  <c r="D79" i="6" s="1"/>
  <c r="C79" i="6" s="1"/>
  <c r="D12" i="5"/>
  <c r="C12" i="5" s="1"/>
  <c r="D13" i="5" s="1"/>
  <c r="C13" i="5" s="1"/>
  <c r="D14" i="5" s="1"/>
  <c r="C14" i="5" s="1"/>
  <c r="D8" i="5"/>
  <c r="C8" i="5" s="1"/>
  <c r="D9" i="5" s="1"/>
  <c r="C9" i="5" s="1"/>
  <c r="D10" i="5" s="1"/>
  <c r="C10" i="5" s="1"/>
  <c r="D10" i="4"/>
  <c r="C10" i="4" s="1"/>
  <c r="D20" i="4"/>
  <c r="C20" i="4" s="1"/>
  <c r="D21" i="4" s="1"/>
  <c r="D34" i="4"/>
  <c r="C34" i="4" s="1"/>
  <c r="D35" i="4" s="1"/>
  <c r="C35" i="4" s="1"/>
  <c r="D36" i="4"/>
  <c r="C36" i="4" s="1"/>
  <c r="D37" i="4" s="1"/>
  <c r="C37" i="4" s="1"/>
  <c r="D38" i="4" s="1"/>
  <c r="C38" i="4" s="1"/>
  <c r="D39" i="4" s="1"/>
  <c r="C39" i="4" s="1"/>
  <c r="D40" i="4" s="1"/>
  <c r="C40" i="4" s="1"/>
  <c r="D41" i="4" s="1"/>
  <c r="C41" i="4" s="1"/>
  <c r="D42" i="4" s="1"/>
  <c r="C42" i="4" s="1"/>
  <c r="D43" i="4" s="1"/>
  <c r="C43" i="4" s="1"/>
  <c r="D44" i="4" s="1"/>
  <c r="C44" i="4" s="1"/>
  <c r="D45" i="4" s="1"/>
  <c r="D9" i="3"/>
  <c r="C9" i="3" s="1"/>
  <c r="D10" i="3" s="1"/>
  <c r="C10" i="3" s="1"/>
  <c r="D11" i="3" s="1"/>
  <c r="C11" i="3" s="1"/>
  <c r="D12" i="3" s="1"/>
  <c r="C12" i="3" s="1"/>
  <c r="D13" i="3" s="1"/>
  <c r="C13" i="3" s="1"/>
  <c r="D14" i="3" s="1"/>
  <c r="C14" i="3" s="1"/>
  <c r="D15" i="3" s="1"/>
  <c r="C15" i="3" s="1"/>
  <c r="D7" i="3"/>
  <c r="C7" i="3" s="1"/>
  <c r="D8" i="3" s="1"/>
  <c r="C8" i="3" s="1"/>
  <c r="D16" i="3"/>
  <c r="C16" i="3" s="1"/>
  <c r="D17" i="3" s="1"/>
  <c r="C17" i="3" s="1"/>
  <c r="D18" i="3" s="1"/>
  <c r="C18" i="3" s="1"/>
  <c r="D19" i="3" s="1"/>
  <c r="C19" i="3" s="1"/>
  <c r="D4" i="3"/>
  <c r="C4" i="3" s="1"/>
  <c r="D49" i="6" l="1"/>
  <c r="C49" i="6" s="1"/>
  <c r="D44" i="6"/>
  <c r="C44" i="6" s="1"/>
  <c r="D45" i="6" s="1"/>
  <c r="C45" i="6" s="1"/>
  <c r="D46" i="6" s="1"/>
  <c r="C46" i="6" s="1"/>
  <c r="D47" i="6" s="1"/>
  <c r="C47" i="6" s="1"/>
  <c r="D48" i="6" s="1"/>
  <c r="C48" i="6" s="1"/>
  <c r="D80" i="6"/>
  <c r="C80" i="6" s="1"/>
  <c r="D81" i="6" s="1"/>
  <c r="C81" i="6" s="1"/>
  <c r="D82" i="6" s="1"/>
  <c r="C82" i="6" s="1"/>
  <c r="D83" i="6" s="1"/>
  <c r="C83" i="6" s="1"/>
  <c r="D84" i="6" s="1"/>
  <c r="C84" i="6" s="1"/>
  <c r="D85" i="6"/>
  <c r="C85" i="6" s="1"/>
  <c r="D22" i="6"/>
  <c r="C22" i="6" s="1"/>
  <c r="D23" i="6" s="1"/>
  <c r="C23" i="6" s="1"/>
  <c r="D24" i="6"/>
  <c r="C24" i="6" s="1"/>
  <c r="D21" i="5"/>
  <c r="D18" i="5"/>
  <c r="C18" i="5" s="1"/>
  <c r="D19" i="5" s="1"/>
  <c r="C19" i="5" s="1"/>
  <c r="D20" i="5" s="1"/>
  <c r="C20" i="5" s="1"/>
  <c r="D17" i="5"/>
  <c r="C17" i="5" s="1"/>
  <c r="D15" i="5"/>
  <c r="C15" i="5" s="1"/>
  <c r="D16" i="5" s="1"/>
  <c r="C16" i="5" s="1"/>
  <c r="D13" i="4"/>
  <c r="C13" i="4" s="1"/>
  <c r="D11" i="4"/>
  <c r="C11" i="4" s="1"/>
  <c r="D12" i="4" s="1"/>
  <c r="C12" i="4" s="1"/>
  <c r="D20" i="3"/>
  <c r="C20" i="3" s="1"/>
  <c r="D21" i="3"/>
  <c r="C21" i="3" s="1"/>
  <c r="D22" i="3" s="1"/>
  <c r="C22" i="3" s="1"/>
  <c r="D23" i="3" s="1"/>
  <c r="C23" i="3" s="1"/>
  <c r="D24" i="3" s="1"/>
  <c r="C24" i="3" s="1"/>
  <c r="D25" i="3" s="1"/>
  <c r="C25" i="3" s="1"/>
  <c r="D26" i="3" s="1"/>
  <c r="C26" i="3" s="1"/>
  <c r="D27" i="3" s="1"/>
  <c r="C27" i="3" s="1"/>
  <c r="D27" i="6" l="1"/>
  <c r="C27" i="6" s="1"/>
  <c r="D28" i="6" s="1"/>
  <c r="D26" i="6"/>
  <c r="C26" i="6" s="1"/>
  <c r="D25" i="6"/>
  <c r="C25" i="6" s="1"/>
  <c r="D90" i="6"/>
  <c r="C90" i="6" s="1"/>
  <c r="D91" i="6" s="1"/>
  <c r="C91" i="6" s="1"/>
  <c r="D86" i="6"/>
  <c r="C86" i="6" s="1"/>
  <c r="D50" i="6"/>
  <c r="C50" i="6" s="1"/>
  <c r="D56" i="6"/>
  <c r="C56" i="6" s="1"/>
  <c r="D57" i="6" s="1"/>
  <c r="C57" i="6" s="1"/>
  <c r="D54" i="6"/>
  <c r="C54" i="6" s="1"/>
  <c r="D55" i="6" s="1"/>
  <c r="C55" i="6" s="1"/>
  <c r="D14" i="4"/>
  <c r="C14" i="4" s="1"/>
  <c r="D15" i="4" s="1"/>
  <c r="C15" i="4" s="1"/>
  <c r="D16" i="4" s="1"/>
  <c r="C16" i="4" s="1"/>
  <c r="D17" i="4" s="1"/>
  <c r="C17" i="4" s="1"/>
  <c r="D18" i="4" s="1"/>
  <c r="C18" i="4" s="1"/>
  <c r="D19" i="4"/>
  <c r="C19" i="4" s="1"/>
  <c r="D30" i="3"/>
  <c r="C30" i="3" s="1"/>
  <c r="D31" i="3" s="1"/>
  <c r="C31" i="3" s="1"/>
  <c r="D32" i="3" s="1"/>
  <c r="C32" i="3" s="1"/>
  <c r="D33" i="3" s="1"/>
  <c r="C33" i="3" s="1"/>
  <c r="D34" i="3" s="1"/>
  <c r="C34" i="3" s="1"/>
  <c r="D35" i="3" s="1"/>
  <c r="C35" i="3" s="1"/>
  <c r="D36" i="3" s="1"/>
  <c r="C36" i="3" s="1"/>
  <c r="D37" i="3" s="1"/>
  <c r="C37" i="3" s="1"/>
  <c r="D38" i="3" s="1"/>
  <c r="C38" i="3" s="1"/>
  <c r="D39" i="3" s="1"/>
  <c r="C39" i="3" s="1"/>
  <c r="D40" i="3" s="1"/>
  <c r="C40" i="3" s="1"/>
  <c r="D41" i="3" s="1"/>
  <c r="C41" i="3" s="1"/>
  <c r="D42" i="3" s="1"/>
  <c r="C42" i="3" s="1"/>
  <c r="D43" i="3" s="1"/>
  <c r="C43" i="3" s="1"/>
  <c r="D44" i="3" s="1"/>
  <c r="C44" i="3" s="1"/>
  <c r="D45" i="3" s="1"/>
  <c r="D28" i="3"/>
  <c r="C28" i="3" s="1"/>
  <c r="D29" i="3" s="1"/>
  <c r="C29" i="3" s="1"/>
  <c r="D58" i="6" l="1"/>
  <c r="C58" i="6" s="1"/>
  <c r="D60" i="6"/>
  <c r="C60" i="6" s="1"/>
  <c r="D61" i="6" s="1"/>
  <c r="C61" i="6" s="1"/>
  <c r="D62" i="6" s="1"/>
  <c r="D59" i="6"/>
  <c r="C59" i="6" s="1"/>
  <c r="D51" i="6"/>
  <c r="C51" i="6" s="1"/>
  <c r="D52" i="6"/>
  <c r="C52" i="6" s="1"/>
  <c r="D53" i="6" s="1"/>
  <c r="C53" i="6" s="1"/>
  <c r="D87" i="6"/>
  <c r="C87" i="6" s="1"/>
  <c r="D88" i="6"/>
  <c r="C88" i="6" s="1"/>
  <c r="D89" i="6" s="1"/>
  <c r="C89" i="6" s="1"/>
  <c r="D92" i="6"/>
  <c r="C92" i="6" s="1"/>
  <c r="D93" i="6" s="1"/>
  <c r="C93" i="6" s="1"/>
  <c r="D96" i="6" l="1"/>
  <c r="D95" i="6"/>
  <c r="C95" i="6" s="1"/>
  <c r="D94" i="6"/>
  <c r="C94" i="6" s="1"/>
</calcChain>
</file>

<file path=xl/sharedStrings.xml><?xml version="1.0" encoding="utf-8"?>
<sst xmlns="http://schemas.openxmlformats.org/spreadsheetml/2006/main" count="1064" uniqueCount="451">
  <si>
    <t>TXREQ</t>
  </si>
  <si>
    <t>CSU视角</t>
    <phoneticPr fontId="7" type="noConversion"/>
  </si>
  <si>
    <t>width</t>
  </si>
  <si>
    <t>MSB</t>
  </si>
  <si>
    <t>LSB</t>
  </si>
  <si>
    <t>REQFLIT_QOS</t>
  </si>
  <si>
    <t>REQFLIT_TGTID</t>
  </si>
  <si>
    <t>REQFLIT_SRCID</t>
    <phoneticPr fontId="7" type="noConversion"/>
  </si>
  <si>
    <t>REQFLIT_TXNID</t>
  </si>
  <si>
    <t>REQFLIT_ENDIAN</t>
  </si>
  <si>
    <t>REQFLIT_OPCODE</t>
  </si>
  <si>
    <t>REQFLIT_SIZE</t>
    <phoneticPr fontId="7" type="noConversion"/>
  </si>
  <si>
    <t>REQFLIT_ADDR</t>
    <phoneticPr fontId="7" type="noConversion"/>
  </si>
  <si>
    <t>REQFLIT_NS</t>
    <phoneticPr fontId="7" type="noConversion"/>
  </si>
  <si>
    <t>REQFLIT_NSE</t>
    <phoneticPr fontId="7" type="noConversion"/>
  </si>
  <si>
    <t>REQFLIT_ORDER</t>
  </si>
  <si>
    <t>REQFLIT_MEMATTR</t>
    <phoneticPr fontId="7" type="noConversion"/>
  </si>
  <si>
    <t>REQFLIT_SNPATTR</t>
  </si>
  <si>
    <t>REQFLIT_LPID</t>
  </si>
  <si>
    <t>REQFLIT_GROUPIDEXT</t>
  </si>
  <si>
    <t>REQFLIT_EXCL/SNOOPME</t>
  </si>
  <si>
    <t>REQFLIT_EXPCOMPACK</t>
  </si>
  <si>
    <t>REQFLIT_TRACETAG</t>
  </si>
  <si>
    <t>REQFLIT_MPAM</t>
  </si>
  <si>
    <t>REQFLIT_PBHA</t>
  </si>
  <si>
    <t>REQFLIT_RSVDC_ELYDQ_VLD</t>
  </si>
  <si>
    <t>REQFLIT_RSVDC_FLITTYPE</t>
  </si>
  <si>
    <t>REQFLIT_RSVDC_HOTDATA</t>
  </si>
  <si>
    <t>REQFLIT_RSVDC_128HINT</t>
    <phoneticPr fontId="7" type="noConversion"/>
  </si>
  <si>
    <t>REQFLIT_RSVDC_TGTL3</t>
  </si>
  <si>
    <t>REQFLIT_RSVDC_NCCMO</t>
  </si>
  <si>
    <t>REQFLIT_W</t>
  </si>
  <si>
    <t>TXREQ_PEND</t>
    <phoneticPr fontId="7" type="noConversion"/>
  </si>
  <si>
    <t>HC视角</t>
  </si>
  <si>
    <t>REQPENDFLIT_PA7</t>
    <phoneticPr fontId="7" type="noConversion"/>
  </si>
  <si>
    <t>TXRSP</t>
  </si>
  <si>
    <t>RSPFLIT_TGTID</t>
  </si>
  <si>
    <t>RSPFLIT_SRCID</t>
  </si>
  <si>
    <t>RSPFLIT_TXNID</t>
  </si>
  <si>
    <t>RSPFLIT_OPCODE</t>
  </si>
  <si>
    <t>RSPFLIT_RESPERR</t>
  </si>
  <si>
    <t>RSPFLIT_RESP</t>
  </si>
  <si>
    <t>RSPFLIT_FWDSTATE/DATAPUL</t>
  </si>
  <si>
    <t>RSPFLIT_TRACETAG</t>
  </si>
  <si>
    <t>RSPFLIT_HITMINFO</t>
  </si>
  <si>
    <t>RSPFLIT_W</t>
  </si>
  <si>
    <t>RXRSP</t>
  </si>
  <si>
    <t>RSPFLIT_DBID</t>
  </si>
  <si>
    <t>RSPFLIT_RSVDC_ALIAS</t>
  </si>
  <si>
    <t>RSPFLIT_HITINFO_MOD</t>
  </si>
  <si>
    <t>RSPFLIT_HITINFO_FAR/HIT</t>
  </si>
  <si>
    <t>RSPFLIT_HITINFO_NEAR</t>
  </si>
  <si>
    <t>RSPFLIT_RSVDC_REFILL_WR</t>
  </si>
  <si>
    <t>RSPFLIT_RSVDC_REFILL_PRFM</t>
  </si>
  <si>
    <t>TXDAT</t>
  </si>
  <si>
    <t>DATFLIT_TGTID</t>
  </si>
  <si>
    <t>DATFLIT_SRCID</t>
  </si>
  <si>
    <t>DATFLIT_TXNID</t>
  </si>
  <si>
    <t>DATFLIT_HNID</t>
  </si>
  <si>
    <t>DATFLIT_PBHA</t>
  </si>
  <si>
    <t>DATFLIT_OPCODE</t>
  </si>
  <si>
    <t>DATFLIT_RESP</t>
  </si>
  <si>
    <t>DATFLIT_FWDSTATE/DATASOURCE</t>
  </si>
  <si>
    <t>DATFLIT_DBID</t>
  </si>
  <si>
    <t>DATFLIT_CCID</t>
  </si>
  <si>
    <t>DATFLIT_DATAID</t>
  </si>
  <si>
    <t>DATFLIT_TRACETAG</t>
  </si>
  <si>
    <t>DATFLIT_BE</t>
    <phoneticPr fontId="7" type="noConversion"/>
  </si>
  <si>
    <t>DATFLIT_DATA</t>
  </si>
  <si>
    <t>DATFLIT_POISON</t>
  </si>
  <si>
    <t>DATFLIT_W</t>
  </si>
  <si>
    <t>RXDAT</t>
  </si>
  <si>
    <t>DATFLIT_RESPERR</t>
  </si>
  <si>
    <t>DATFLIT_DATASOURCE/FWDSTATE</t>
  </si>
  <si>
    <t>DATFLIT_TRACETAG/</t>
  </si>
  <si>
    <t>DATFLIT_ECC_VLD</t>
    <phoneticPr fontId="7" type="noConversion"/>
  </si>
  <si>
    <t>DATFLIT_ECC</t>
    <phoneticPr fontId="7" type="noConversion"/>
  </si>
  <si>
    <t>DATFLIT_HITMINFO</t>
  </si>
  <si>
    <t>RSPFLIT_RSVDC_CHL_VLD</t>
  </si>
  <si>
    <t>RSPFLIT_RSVDC_SEC_VLD</t>
  </si>
  <si>
    <t>RXWKUP</t>
  </si>
  <si>
    <t>WKUPFLIT_TXNID</t>
  </si>
  <si>
    <t>WKUPFLIT_CHL</t>
  </si>
  <si>
    <t>WKUPFLIT_CHL_PA5</t>
  </si>
  <si>
    <t>WKUPFLIT_RESENT</t>
  </si>
  <si>
    <t>WKUPFLIT_STAGE</t>
    <phoneticPr fontId="7" type="noConversion"/>
  </si>
  <si>
    <t>WKUPFLIT_PIPE</t>
    <phoneticPr fontId="7" type="noConversion"/>
  </si>
  <si>
    <t>WKUPFLIT_PIPE_HINT</t>
    <phoneticPr fontId="7" type="noConversion"/>
  </si>
  <si>
    <t>WKUPFLIT_W</t>
  </si>
  <si>
    <t>RXERR</t>
    <phoneticPr fontId="7" type="noConversion"/>
  </si>
  <si>
    <t>ERR_FLIT_INDICATE</t>
    <phoneticPr fontId="7" type="noConversion"/>
  </si>
  <si>
    <t>ERR_FLIT_BITERR</t>
    <phoneticPr fontId="7" type="noConversion"/>
  </si>
  <si>
    <t>RXFILL</t>
  </si>
  <si>
    <t>FILLFLIT_RESP</t>
  </si>
  <si>
    <t>FILLFLIT_W</t>
  </si>
  <si>
    <t>RXSNP</t>
  </si>
  <si>
    <t>SNPFLIT_SRCID</t>
  </si>
  <si>
    <t>SNPFLIT_TXNID</t>
  </si>
  <si>
    <t>SNPFLIT_FWDNID</t>
  </si>
  <si>
    <t>SNPFLIT_VMIDEXT/FWDTXNID</t>
  </si>
  <si>
    <t>SNPFLIT_OPCODE</t>
  </si>
  <si>
    <t>SNPFLIT_ADDR</t>
  </si>
  <si>
    <t>SNPFLIT_NS</t>
  </si>
  <si>
    <t>SNPFLIT_NSE</t>
    <phoneticPr fontId="7" type="noConversion"/>
  </si>
  <si>
    <t>SNPFLIT_RETTOSRC</t>
  </si>
  <si>
    <t>SNPFLIT_TRACETAG</t>
  </si>
  <si>
    <t>SNPFLIT_ALIAS</t>
  </si>
  <si>
    <t>SNPFLIT_ALIAS_TXNID</t>
  </si>
  <si>
    <t>SNPFLIT_SNP_TO_LSU</t>
    <phoneticPr fontId="7" type="noConversion"/>
  </si>
  <si>
    <t>SNPFLIT_SNP_NEED_NUKE</t>
    <phoneticPr fontId="7" type="noConversion"/>
  </si>
  <si>
    <t>SNPFLIT_W</t>
  </si>
  <si>
    <t>CompCMO</t>
  </si>
  <si>
    <t>Comp</t>
  </si>
  <si>
    <t>miss info</t>
  </si>
  <si>
    <t>CompStashDone</t>
  </si>
  <si>
    <t>write nt</t>
  </si>
  <si>
    <t>nc/dev write</t>
  </si>
  <si>
    <t>pfl3</t>
  </si>
  <si>
    <t>pfsc miss l3</t>
  </si>
  <si>
    <t>pfsc hit l3</t>
  </si>
  <si>
    <t>RXRSP1(用作CompCMO,stash_done streaming等性能特性)</t>
  </si>
  <si>
    <t>rsv</t>
  </si>
  <si>
    <t>HitInfo_NEAR</t>
  </si>
  <si>
    <t>txnid</t>
  </si>
  <si>
    <t>L2内部</t>
  </si>
  <si>
    <t>HitInfo_FAR</t>
  </si>
  <si>
    <t>range</t>
  </si>
  <si>
    <t>HitInfo_Modified</t>
  </si>
  <si>
    <t>RSP1FLIT_BIT0</t>
  </si>
  <si>
    <t>RSP1FLIT_BIT1</t>
  </si>
  <si>
    <t>RSP1FLIT_BIT2</t>
  </si>
  <si>
    <t>RSP1FLIT_BIT3</t>
  </si>
  <si>
    <t>tid</t>
  </si>
  <si>
    <t>RSP1FLIT_BIT4_5</t>
  </si>
  <si>
    <t>RSP1FLIT_BIT6_8</t>
  </si>
  <si>
    <t>RSP1FLIT_BIT9</t>
  </si>
  <si>
    <t>homeID</t>
  </si>
  <si>
    <t>RSP1FLIT_BIT10_17</t>
  </si>
  <si>
    <t>RSP1FLIT_BIT18</t>
  </si>
  <si>
    <t>2'b00</t>
  </si>
  <si>
    <t>2'b01</t>
  </si>
  <si>
    <t>2'b10</t>
  </si>
  <si>
    <t>2'b11</t>
  </si>
  <si>
    <t>RSP1FLIT_W</t>
  </si>
  <si>
    <t>l3_utils</t>
  </si>
  <si>
    <t>resp error</t>
  </si>
  <si>
    <t>hit/miss</t>
  </si>
  <si>
    <t>sc hit/miss</t>
  </si>
  <si>
    <t>color</t>
  </si>
  <si>
    <t>pftype</t>
  </si>
  <si>
    <t>1: from sc</t>
  </si>
  <si>
    <t>0: from l3/hc</t>
  </si>
  <si>
    <t>REQ_OPCODE[6:0]</t>
  </si>
  <si>
    <t>Transaction Type</t>
  </si>
  <si>
    <r>
      <t>P HC supports</t>
    </r>
    <r>
      <rPr>
        <sz val="11"/>
        <color rgb="FF000000"/>
        <rFont val="宋体"/>
        <family val="2"/>
        <charset val="134"/>
      </rPr>
      <t>（950）</t>
    </r>
    <phoneticPr fontId="21" type="noConversion"/>
  </si>
  <si>
    <t>RESP_OPCODE[4:0]</t>
  </si>
  <si>
    <t>supports(TX)</t>
  </si>
  <si>
    <t>0x00</t>
  </si>
  <si>
    <t>ReqLCrdReturn</t>
  </si>
  <si>
    <t>Yes</t>
  </si>
  <si>
    <t>RespLCrdReturn</t>
  </si>
  <si>
    <t>0x01</t>
  </si>
  <si>
    <t>ReadShared</t>
  </si>
  <si>
    <t>No</t>
  </si>
  <si>
    <t>SnpResp</t>
  </si>
  <si>
    <t>0x02</t>
  </si>
  <si>
    <t>ReadClean</t>
  </si>
  <si>
    <t>Yes</t>
    <phoneticPr fontId="21" type="noConversion"/>
  </si>
  <si>
    <t>CompAck</t>
  </si>
  <si>
    <t>0x03</t>
  </si>
  <si>
    <t>ReadOnce</t>
  </si>
  <si>
    <t>RetryAck</t>
  </si>
  <si>
    <t>0x04</t>
  </si>
  <si>
    <t>ReadNoSnp</t>
  </si>
  <si>
    <t>0x05</t>
  </si>
  <si>
    <t>PCrdReturn</t>
  </si>
  <si>
    <t>CompDBIDResp</t>
  </si>
  <si>
    <t>0x06</t>
  </si>
  <si>
    <t>Reserved</t>
  </si>
  <si>
    <t>DBIDResp</t>
  </si>
  <si>
    <t>0x07</t>
  </si>
  <si>
    <t>ReadUnique</t>
  </si>
  <si>
    <t>PCrdGrant</t>
  </si>
  <si>
    <t>0x08</t>
  </si>
  <si>
    <t>CleanShared</t>
  </si>
  <si>
    <t>ReadReceipt</t>
  </si>
  <si>
    <t>0x09</t>
  </si>
  <si>
    <t>CleanInvalid</t>
  </si>
  <si>
    <t>SnpRespFwded</t>
  </si>
  <si>
    <t>0x0A</t>
  </si>
  <si>
    <t>MakeInvalid</t>
  </si>
  <si>
    <t>TagMatch</t>
  </si>
  <si>
    <t>0x0B</t>
  </si>
  <si>
    <t>CleanUnique</t>
    <phoneticPr fontId="21" type="noConversion"/>
  </si>
  <si>
    <r>
      <t>Yes(950</t>
    </r>
    <r>
      <rPr>
        <sz val="11"/>
        <color theme="1"/>
        <rFont val="宋体"/>
        <family val="2"/>
        <charset val="134"/>
      </rPr>
      <t>发不出来</t>
    </r>
    <r>
      <rPr>
        <sz val="11"/>
        <color theme="1"/>
        <rFont val="Calibri"/>
        <family val="2"/>
      </rPr>
      <t>)</t>
    </r>
    <phoneticPr fontId="21" type="noConversion"/>
  </si>
  <si>
    <t>RespSepData</t>
  </si>
  <si>
    <t>0x0C</t>
  </si>
  <si>
    <t>MakeUnique</t>
  </si>
  <si>
    <t>Persist</t>
  </si>
  <si>
    <t>0x0D</t>
  </si>
  <si>
    <t>Evict</t>
  </si>
  <si>
    <t>CompPersist</t>
  </si>
  <si>
    <t>0x0E</t>
  </si>
  <si>
    <t>Reserved (EOBarrier)</t>
  </si>
  <si>
    <t>DBIDRespOrd</t>
  </si>
  <si>
    <t>0x0F</t>
  </si>
  <si>
    <t>Reserved (ECBarrier)</t>
  </si>
  <si>
    <t>0x10</t>
  </si>
  <si>
    <t>StashDone</t>
  </si>
  <si>
    <t>0x11</t>
  </si>
  <si>
    <t>ReadNoSnpSep</t>
  </si>
  <si>
    <t>0x12</t>
  </si>
  <si>
    <t>0x13</t>
  </si>
  <si>
    <t>CleanSharedPersistSep</t>
  </si>
  <si>
    <t>0x14</t>
  </si>
  <si>
    <t>DVMOp</t>
  </si>
  <si>
    <t>0x15</t>
  </si>
  <si>
    <t>WriteEvictFull</t>
  </si>
  <si>
    <t>0x15~0x1F</t>
  </si>
  <si>
    <t>0x16</t>
  </si>
  <si>
    <t>Reserved (WriteCleanPtl)</t>
  </si>
  <si>
    <t>0x17</t>
  </si>
  <si>
    <t>WriteCleanFull</t>
  </si>
  <si>
    <t>0x18</t>
  </si>
  <si>
    <t>WriteUniquePtl</t>
  </si>
  <si>
    <t>supports(RX)</t>
  </si>
  <si>
    <t>0x19</t>
  </si>
  <si>
    <t>WriteUniqueFull</t>
  </si>
  <si>
    <t>0x1A</t>
  </si>
  <si>
    <t>WriteBackPtl</t>
  </si>
  <si>
    <t>0x1B</t>
  </si>
  <si>
    <t>WriteBackFull</t>
  </si>
  <si>
    <t>0x1C</t>
  </si>
  <si>
    <t>WriteNoSnpPtl</t>
  </si>
  <si>
    <t>0x1D</t>
  </si>
  <si>
    <t>WriteNoSnpFull</t>
  </si>
  <si>
    <t>0x1E</t>
  </si>
  <si>
    <t>0x1F</t>
  </si>
  <si>
    <t>0x20</t>
  </si>
  <si>
    <t>WriteUniqueFullStash</t>
  </si>
  <si>
    <t>0x21</t>
  </si>
  <si>
    <t>WriteUniquePtlStash</t>
  </si>
  <si>
    <t>0x22</t>
  </si>
  <si>
    <t>StashOnceShared</t>
    <phoneticPr fontId="21" type="noConversion"/>
  </si>
  <si>
    <t>0x23</t>
  </si>
  <si>
    <t>StashOnceUnique</t>
  </si>
  <si>
    <t>0x24</t>
  </si>
  <si>
    <t>ReadOnceCleanInvalid</t>
  </si>
  <si>
    <t>0x25</t>
  </si>
  <si>
    <t>ReadOnceMakeInvalid</t>
  </si>
  <si>
    <t>0x26</t>
  </si>
  <si>
    <t>ReadNotSharedDirty</t>
  </si>
  <si>
    <t>0x27</t>
  </si>
  <si>
    <t>CleanSharedPersist</t>
  </si>
  <si>
    <t>0x28-0x2F</t>
  </si>
  <si>
    <t>AtomicStore</t>
  </si>
  <si>
    <t>0x30-0x37</t>
  </si>
  <si>
    <t>AtomicLoad</t>
  </si>
  <si>
    <t>0x38</t>
  </si>
  <si>
    <t>AtomicSwap</t>
  </si>
  <si>
    <t>0x39</t>
  </si>
  <si>
    <t>AtomicCompare</t>
  </si>
  <si>
    <t>0x3A</t>
  </si>
  <si>
    <t>PrefetchTgt</t>
  </si>
  <si>
    <t>0x3B-0x3F</t>
  </si>
  <si>
    <t>0x40</t>
  </si>
  <si>
    <t>0x1b</t>
  </si>
  <si>
    <t>CompDBIDRespCMO</t>
  </si>
  <si>
    <t>0x41</t>
  </si>
  <si>
    <t>MakeReadUnique</t>
  </si>
  <si>
    <t>0x42</t>
  </si>
  <si>
    <t>WriteEvictOrEvict</t>
  </si>
  <si>
    <t>0x43</t>
  </si>
  <si>
    <t>WriteUniqueZero</t>
  </si>
  <si>
    <t>DATA_OPCODE[3:0]</t>
  </si>
  <si>
    <t>0x44</t>
  </si>
  <si>
    <t>WriteNoSnpZero</t>
  </si>
  <si>
    <t>DataLCrdReturn</t>
  </si>
  <si>
    <t>0x45</t>
  </si>
  <si>
    <t>SnpRespData</t>
  </si>
  <si>
    <t>0x46</t>
  </si>
  <si>
    <t>CopyBackWrData</t>
  </si>
  <si>
    <t>0x47</t>
  </si>
  <si>
    <t>StashOnceSepShared</t>
  </si>
  <si>
    <t>NonCopyBackWrData</t>
  </si>
  <si>
    <t>0x48</t>
  </si>
  <si>
    <t>StashOnceSepUnique</t>
  </si>
  <si>
    <t>CompData</t>
  </si>
  <si>
    <t>0x49</t>
  </si>
  <si>
    <t>SnpRespDataPtl</t>
  </si>
  <si>
    <t>0x4A</t>
  </si>
  <si>
    <t>SnpRespDataFwded</t>
  </si>
  <si>
    <t>0x4B</t>
  </si>
  <si>
    <t>WriteDataCancel</t>
  </si>
  <si>
    <t>0x4C</t>
  </si>
  <si>
    <t>ReadPreferUnique</t>
  </si>
  <si>
    <t>0x4D</t>
  </si>
  <si>
    <t>0x4E</t>
  </si>
  <si>
    <t>WriteNoSnpDef</t>
  </si>
  <si>
    <t>0x4F</t>
  </si>
  <si>
    <t>DataSepResp</t>
  </si>
  <si>
    <t>0x50</t>
  </si>
  <si>
    <t>WriteNoSnpFullCleanSh</t>
  </si>
  <si>
    <t>NCBWrDataCompAck</t>
  </si>
  <si>
    <t>0x51</t>
  </si>
  <si>
    <t>WriteNoSnpFullCleanInv</t>
  </si>
  <si>
    <t>0x52</t>
  </si>
  <si>
    <t>WriteNoSnpFullCleanShPerSep</t>
  </si>
  <si>
    <t>0x53</t>
  </si>
  <si>
    <t>0x54</t>
  </si>
  <si>
    <t>WriteUniqueFullCleanSh</t>
  </si>
  <si>
    <t>0x55</t>
  </si>
  <si>
    <t>0x56</t>
  </si>
  <si>
    <t>WriteUniqueFullCleanShPerSep</t>
  </si>
  <si>
    <t>0x57</t>
  </si>
  <si>
    <t>0x58</t>
  </si>
  <si>
    <t>WriteBackFullCleanSh</t>
  </si>
  <si>
    <t>0x59</t>
  </si>
  <si>
    <t>WriteBackFullCleanInv</t>
  </si>
  <si>
    <t>0x5a</t>
  </si>
  <si>
    <t>WriteBackFullCleanShPerSep</t>
  </si>
  <si>
    <t>0x5b</t>
  </si>
  <si>
    <t>0x5c</t>
  </si>
  <si>
    <t>WriteCleanFullCleanSh</t>
  </si>
  <si>
    <t>0x5d</t>
  </si>
  <si>
    <t>0x5e</t>
  </si>
  <si>
    <t>WriteCleanFullCleanShPerSep</t>
  </si>
  <si>
    <t>0x5f</t>
  </si>
  <si>
    <t>0x60</t>
  </si>
  <si>
    <t>WriteNoSnpPtlCleanSh</t>
  </si>
  <si>
    <t>0x61</t>
  </si>
  <si>
    <t>WriteNoSnpPtlCleanInv</t>
  </si>
  <si>
    <t>0x62</t>
  </si>
  <si>
    <t>WriteNoSnpPtlCleanShPerSep</t>
  </si>
  <si>
    <t>0x63</t>
  </si>
  <si>
    <t>0x64</t>
  </si>
  <si>
    <t>WriteUniquePtlCleanSh</t>
  </si>
  <si>
    <t>0x65</t>
  </si>
  <si>
    <t>0x66</t>
  </si>
  <si>
    <t>WriteUniquePtlCleanShPerSep</t>
  </si>
  <si>
    <t>0x67</t>
  </si>
  <si>
    <t>SNP_OPCODE[4:0]</t>
  </si>
  <si>
    <t>supports</t>
  </si>
  <si>
    <t>SnpLCrdReturn</t>
  </si>
  <si>
    <t>SnpShared</t>
  </si>
  <si>
    <t>SnpClean</t>
  </si>
  <si>
    <t>SnpOnce</t>
  </si>
  <si>
    <t>SnpNotSharedDirty</t>
  </si>
  <si>
    <t>SnpUniqueStash</t>
  </si>
  <si>
    <t>SnpMakeInvalidStash</t>
  </si>
  <si>
    <t>SnpUnique</t>
  </si>
  <si>
    <t>SnpCleanShared</t>
  </si>
  <si>
    <t>SnpCleanInvalid</t>
  </si>
  <si>
    <t>SnpMakeInvalid</t>
  </si>
  <si>
    <t>SnpStashUnique</t>
  </si>
  <si>
    <t>SnpStashShared</t>
  </si>
  <si>
    <t>SnpDVMOp</t>
  </si>
  <si>
    <t>SnpQuery</t>
  </si>
  <si>
    <t>SnpSharedFwd</t>
  </si>
  <si>
    <t>SnpCleanFwd</t>
  </si>
  <si>
    <t>SnpOnceFwd</t>
  </si>
  <si>
    <t>SnpNotSharedDirtyFwd</t>
  </si>
  <si>
    <t>SnpPreferUnique</t>
  </si>
  <si>
    <t>SnpPreferUniqueFwd</t>
  </si>
  <si>
    <t>SnpUniqueFwd</t>
  </si>
  <si>
    <t>0x18~0x1F</t>
  </si>
  <si>
    <t>REQFLIT</t>
  </si>
  <si>
    <t>Field</t>
  </si>
  <si>
    <t>Field width</t>
  </si>
  <si>
    <t>END BIT</t>
  </si>
  <si>
    <t>START BIT</t>
  </si>
  <si>
    <t>QoS</t>
  </si>
  <si>
    <t>TgtID</t>
  </si>
  <si>
    <t>SrcID</t>
  </si>
  <si>
    <t>TxnID</t>
  </si>
  <si>
    <t>ReturnNID</t>
  </si>
  <si>
    <t>StashNID</t>
  </si>
  <si>
    <t>Endian</t>
  </si>
  <si>
    <t>StashNIDValid</t>
  </si>
  <si>
    <t>deep</t>
  </si>
  <si>
    <t>ReturnTxnID</t>
  </si>
  <si>
    <t>{0b00,</t>
  </si>
  <si>
    <t>StashLPIDValid,</t>
  </si>
  <si>
    <t>StashLPID[4:0]}</t>
  </si>
  <si>
    <t>Opcode</t>
  </si>
  <si>
    <t>Size</t>
  </si>
  <si>
    <t>Addr</t>
  </si>
  <si>
    <t>NS</t>
  </si>
  <si>
    <t>LikelyShared</t>
  </si>
  <si>
    <t>AllowRetry</t>
  </si>
  <si>
    <t>Order</t>
  </si>
  <si>
    <t>PCrdType</t>
  </si>
  <si>
    <t>MemAttr</t>
  </si>
  <si>
    <t>SnpAttr</t>
  </si>
  <si>
    <t>DoNotDWT</t>
  </si>
  <si>
    <t>LPID</t>
  </si>
  <si>
    <t>PGroupID</t>
  </si>
  <si>
    <t>GroupIDExt</t>
  </si>
  <si>
    <t>Excl</t>
  </si>
  <si>
    <t>SnoopMe</t>
  </si>
  <si>
    <t>ExpCompAck</t>
  </si>
  <si>
    <t>TagOp</t>
  </si>
  <si>
    <t>TraceTag</t>
  </si>
  <si>
    <t>MPAM</t>
  </si>
  <si>
    <t>PBHA</t>
  </si>
  <si>
    <t>RSVDC_pass_dirty/is_dirty</t>
  </si>
  <si>
    <t>RSVDC_is_copyback/migratable</t>
  </si>
  <si>
    <t>RSVDC_to_pp</t>
  </si>
  <si>
    <t>RSVDC_subsource</t>
  </si>
  <si>
    <t>RSVDC_prf</t>
  </si>
  <si>
    <t>RSVDC_trans</t>
  </si>
  <si>
    <r>
      <rPr>
        <strike/>
        <sz val="9"/>
        <color theme="1"/>
        <rFont val="Calibri"/>
        <family val="2"/>
      </rPr>
      <t>RSVDC_outer_shareable</t>
    </r>
  </si>
  <si>
    <t>RSVDC_flittype</t>
  </si>
  <si>
    <t>TXRSPFLIT</t>
  </si>
  <si>
    <t>RespErr</t>
  </si>
  <si>
    <t>Resp</t>
  </si>
  <si>
    <t>FwdState</t>
  </si>
  <si>
    <t>DataPull</t>
  </si>
  <si>
    <t>Cbusy</t>
  </si>
  <si>
    <t>DBID</t>
  </si>
  <si>
    <t>{4b0,</t>
  </si>
  <si>
    <t>LPID}</t>
  </si>
  <si>
    <t>HitMInfo</t>
  </si>
  <si>
    <t>RXRSPFLIT</t>
  </si>
  <si>
    <t>HitInfo_Hit</t>
  </si>
  <si>
    <t>SNPFLIT</t>
  </si>
  <si>
    <t>FwdNID</t>
  </si>
  <si>
    <t>FwdTxnID</t>
  </si>
  <si>
    <r>
      <rPr>
        <sz val="9"/>
        <rFont val="Calibri"/>
        <family val="2"/>
      </rPr>
      <t>{</t>
    </r>
    <r>
      <rPr>
        <sz val="8"/>
        <rFont val="Calibri"/>
        <family val="2"/>
      </rPr>
      <t>0b00</t>
    </r>
    <r>
      <rPr>
        <sz val="9"/>
        <rFont val="Calibri"/>
        <family val="2"/>
      </rPr>
      <t>,</t>
    </r>
  </si>
  <si>
    <t>{VMIDExt[7:0]}</t>
  </si>
  <si>
    <t>DoNotGoToSD</t>
  </si>
  <si>
    <t>DoNotDataPull</t>
  </si>
  <si>
    <t>RetToSrc</t>
  </si>
  <si>
    <t>RXDATFLIT</t>
  </si>
  <si>
    <t>HomeNID</t>
  </si>
  <si>
    <t>DataSource</t>
  </si>
  <si>
    <t>CCID</t>
  </si>
  <si>
    <t>DataID</t>
  </si>
  <si>
    <t>Tag</t>
  </si>
  <si>
    <t>TU</t>
  </si>
  <si>
    <t>RSVDC</t>
  </si>
  <si>
    <t>BE</t>
  </si>
  <si>
    <t>Data</t>
  </si>
  <si>
    <t>DataCheck</t>
  </si>
  <si>
    <t>Poison</t>
  </si>
  <si>
    <r>
      <rPr>
        <b/>
        <sz val="9"/>
        <color rgb="FFFF0000"/>
        <rFont val="Calibri"/>
        <family val="2"/>
      </rPr>
      <t>TXDATFLIT</t>
    </r>
    <r>
      <rPr>
        <b/>
        <sz val="9"/>
        <color rgb="FFFF0000"/>
        <rFont val="宋体"/>
        <family val="3"/>
        <charset val="134"/>
      </rPr>
      <t>（</t>
    </r>
    <r>
      <rPr>
        <b/>
        <sz val="9"/>
        <color rgb="FFFF0000"/>
        <rFont val="Calibri"/>
        <family val="2"/>
      </rPr>
      <t>HC</t>
    </r>
    <r>
      <rPr>
        <b/>
        <sz val="9"/>
        <color rgb="FFFF0000"/>
        <rFont val="宋体"/>
        <family val="3"/>
        <charset val="134"/>
      </rPr>
      <t>）</t>
    </r>
  </si>
  <si>
    <t>{2‘b00</t>
  </si>
  <si>
    <t>PBHA[3:0]}</t>
  </si>
  <si>
    <t>Datavld</t>
  </si>
  <si>
    <t>Mstx</t>
  </si>
  <si>
    <r>
      <rPr>
        <b/>
        <sz val="9"/>
        <color rgb="FFFF0000"/>
        <rFont val="Calibri"/>
        <family val="2"/>
      </rPr>
      <t>TXDATFLIT</t>
    </r>
    <r>
      <rPr>
        <b/>
        <sz val="9"/>
        <color rgb="FFFF0000"/>
        <rFont val="宋体"/>
        <family val="3"/>
        <charset val="134"/>
      </rPr>
      <t>（</t>
    </r>
    <r>
      <rPr>
        <b/>
        <sz val="9"/>
        <color rgb="FFFF0000"/>
        <rFont val="Calibri"/>
        <family val="2"/>
      </rPr>
      <t>LIT CLUSTER</t>
    </r>
    <r>
      <rPr>
        <b/>
        <sz val="9"/>
        <color rgb="FFFF0000"/>
        <rFont val="宋体"/>
        <family val="3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</si>
</sst>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FF0000"/>
      <name val="Times New Roman"/>
      <family val="1"/>
    </font>
    <font>
      <b/>
      <sz val="16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Times New Roman"/>
      <family val="1"/>
    </font>
    <font>
      <sz val="11"/>
      <color rgb="FFA6A6A6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2"/>
      <color rgb="FF000000"/>
      <name val="宋体"/>
      <family val="3"/>
      <charset val="134"/>
    </font>
    <font>
      <sz val="12"/>
      <color rgb="FF00B0F0"/>
      <name val="宋体"/>
      <family val="3"/>
      <charset val="134"/>
    </font>
    <font>
      <sz val="12"/>
      <color rgb="FFBFBFBF"/>
      <name val="宋体"/>
      <family val="3"/>
      <charset val="134"/>
    </font>
    <font>
      <b/>
      <sz val="11"/>
      <color rgb="FFFF0000"/>
      <name val="Times New Roman"/>
      <family val="1"/>
    </font>
    <font>
      <sz val="12"/>
      <color rgb="FF000000"/>
      <name val="Calibri Light"/>
      <family val="2"/>
    </font>
    <font>
      <sz val="12"/>
      <color rgb="FFFF0000"/>
      <name val="Calibri Light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rgb="FFFF0000"/>
      <name val="Calibri"/>
      <family val="2"/>
    </font>
    <font>
      <sz val="11"/>
      <color rgb="FFFF0000"/>
      <name val="宋体"/>
      <family val="3"/>
      <charset val="134"/>
    </font>
    <font>
      <b/>
      <sz val="11"/>
      <color theme="1"/>
      <name val="Calibri"/>
      <family val="2"/>
    </font>
    <font>
      <b/>
      <sz val="9"/>
      <color rgb="FFFF0000"/>
      <name val="Calibri"/>
      <family val="2"/>
    </font>
    <font>
      <b/>
      <sz val="9"/>
      <color rgb="FF000000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trike/>
      <sz val="9"/>
      <color theme="1"/>
      <name val="Calibri"/>
      <family val="2"/>
    </font>
    <font>
      <strike/>
      <sz val="9"/>
      <color rgb="FFFF0000"/>
      <name val="Calibri"/>
      <family val="2"/>
    </font>
    <font>
      <sz val="9"/>
      <color theme="1"/>
      <name val="宋体"/>
      <family val="3"/>
      <charset val="134"/>
    </font>
    <font>
      <strike/>
      <sz val="9"/>
      <color rgb="FF000000"/>
      <name val="Calibri"/>
      <family val="2"/>
    </font>
    <font>
      <strike/>
      <sz val="9"/>
      <color rgb="FF969696"/>
      <name val="Calibri"/>
      <family val="2"/>
    </font>
    <font>
      <strike/>
      <sz val="9"/>
      <name val="Calibri"/>
      <family val="2"/>
    </font>
    <font>
      <sz val="9"/>
      <color rgb="FFFF0000"/>
      <name val="Calibri"/>
      <family val="2"/>
    </font>
    <font>
      <sz val="8"/>
      <color theme="1"/>
      <name val="Calibri"/>
      <family val="2"/>
    </font>
    <font>
      <b/>
      <sz val="11"/>
      <color theme="1"/>
      <name val="等线"/>
      <family val="3"/>
      <charset val="134"/>
      <scheme val="minor"/>
    </font>
    <font>
      <sz val="9"/>
      <name val="Calibri"/>
      <family val="2"/>
    </font>
    <font>
      <strike/>
      <sz val="11"/>
      <color theme="1"/>
      <name val="等线"/>
      <family val="3"/>
      <charset val="134"/>
      <scheme val="minor"/>
    </font>
    <font>
      <sz val="8"/>
      <name val="Calibri"/>
      <family val="2"/>
    </font>
    <font>
      <b/>
      <strike/>
      <sz val="9"/>
      <color rgb="FFFF0000"/>
      <name val="Calibri"/>
      <family val="2"/>
    </font>
    <font>
      <b/>
      <strike/>
      <sz val="9"/>
      <color rgb="FF000000"/>
      <name val="Calibri"/>
      <family val="2"/>
    </font>
    <font>
      <b/>
      <sz val="9"/>
      <color rgb="FFFF000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4" fillId="2" borderId="0" applyNumberFormat="0" applyBorder="0" applyAlignment="0" applyProtection="0"/>
    <xf numFmtId="0" fontId="4" fillId="0" borderId="0"/>
  </cellStyleXfs>
  <cellXfs count="179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center"/>
    </xf>
    <xf numFmtId="0" fontId="3" fillId="0" borderId="0" xfId="1" applyFont="1" applyAlignment="1">
      <alignment vertical="center" wrapText="1"/>
    </xf>
    <xf numFmtId="0" fontId="5" fillId="2" borderId="1" xfId="2" applyFont="1" applyBorder="1" applyAlignment="1">
      <alignment vertical="center" wrapText="1"/>
    </xf>
    <xf numFmtId="0" fontId="1" fillId="2" borderId="1" xfId="1" applyFill="1" applyBorder="1">
      <alignment vertical="center"/>
    </xf>
    <xf numFmtId="0" fontId="8" fillId="2" borderId="8" xfId="2" applyFont="1" applyBorder="1" applyAlignment="1">
      <alignment horizontal="center" vertical="center" wrapText="1"/>
    </xf>
    <xf numFmtId="0" fontId="8" fillId="2" borderId="9" xfId="2" applyFont="1" applyBorder="1" applyAlignment="1">
      <alignment horizontal="center" vertical="center" wrapText="1"/>
    </xf>
    <xf numFmtId="0" fontId="8" fillId="2" borderId="10" xfId="2" applyFont="1" applyBorder="1" applyAlignment="1">
      <alignment horizontal="center" vertical="center" wrapText="1"/>
    </xf>
    <xf numFmtId="0" fontId="8" fillId="2" borderId="1" xfId="2" applyFont="1" applyBorder="1" applyAlignment="1">
      <alignment vertical="center" wrapText="1"/>
    </xf>
    <xf numFmtId="0" fontId="9" fillId="2" borderId="9" xfId="2" applyFont="1" applyBorder="1" applyAlignment="1">
      <alignment vertical="center" wrapText="1"/>
    </xf>
    <xf numFmtId="0" fontId="9" fillId="2" borderId="8" xfId="2" applyFont="1" applyBorder="1" applyAlignment="1">
      <alignment horizontal="center" vertical="center" wrapText="1"/>
    </xf>
    <xf numFmtId="0" fontId="9" fillId="2" borderId="9" xfId="2" applyFont="1" applyBorder="1" applyAlignment="1">
      <alignment horizontal="center" vertical="center" wrapText="1"/>
    </xf>
    <xf numFmtId="0" fontId="9" fillId="2" borderId="10" xfId="2" applyFont="1" applyBorder="1" applyAlignment="1">
      <alignment horizontal="center" vertical="center" wrapText="1"/>
    </xf>
    <xf numFmtId="0" fontId="10" fillId="2" borderId="1" xfId="2" applyFont="1" applyBorder="1" applyAlignment="1">
      <alignment vertical="center" wrapText="1"/>
    </xf>
    <xf numFmtId="0" fontId="11" fillId="2" borderId="1" xfId="2" applyFont="1" applyBorder="1" applyAlignment="1">
      <alignment vertical="center" wrapText="1"/>
    </xf>
    <xf numFmtId="0" fontId="12" fillId="0" borderId="0" xfId="1" applyFont="1" applyAlignment="1">
      <alignment vertical="center" wrapText="1"/>
    </xf>
    <xf numFmtId="0" fontId="12" fillId="0" borderId="0" xfId="1" applyFont="1">
      <alignment vertical="center"/>
    </xf>
    <xf numFmtId="0" fontId="13" fillId="0" borderId="0" xfId="1" applyFont="1" applyAlignment="1">
      <alignment vertical="center" wrapText="1"/>
    </xf>
    <xf numFmtId="0" fontId="14" fillId="0" borderId="0" xfId="1" applyFont="1">
      <alignment vertical="center"/>
    </xf>
    <xf numFmtId="0" fontId="8" fillId="2" borderId="9" xfId="2" applyFont="1" applyBorder="1" applyAlignment="1">
      <alignment vertical="center" wrapText="1"/>
    </xf>
    <xf numFmtId="0" fontId="8" fillId="2" borderId="11" xfId="2" applyFont="1" applyBorder="1" applyAlignment="1">
      <alignment horizontal="center" vertical="center" wrapText="1"/>
    </xf>
    <xf numFmtId="0" fontId="8" fillId="2" borderId="12" xfId="2" applyFont="1" applyBorder="1" applyAlignment="1">
      <alignment horizontal="center" vertical="center" wrapText="1"/>
    </xf>
    <xf numFmtId="0" fontId="8" fillId="2" borderId="13" xfId="2" applyFont="1" applyBorder="1" applyAlignment="1">
      <alignment horizontal="center" vertical="center" wrapText="1"/>
    </xf>
    <xf numFmtId="0" fontId="8" fillId="2" borderId="16" xfId="2" applyFont="1" applyBorder="1" applyAlignment="1">
      <alignment horizontal="center" vertical="center" wrapText="1"/>
    </xf>
    <xf numFmtId="0" fontId="8" fillId="2" borderId="17" xfId="2" applyFont="1" applyBorder="1" applyAlignment="1">
      <alignment horizontal="center" vertical="center" wrapText="1"/>
    </xf>
    <xf numFmtId="0" fontId="8" fillId="2" borderId="18" xfId="2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10" fillId="4" borderId="1" xfId="2" applyFont="1" applyFill="1" applyBorder="1" applyAlignment="1">
      <alignment vertical="center" wrapText="1"/>
    </xf>
    <xf numFmtId="0" fontId="15" fillId="2" borderId="1" xfId="2" applyFont="1" applyBorder="1" applyAlignment="1">
      <alignment vertical="center" wrapText="1"/>
    </xf>
    <xf numFmtId="0" fontId="8" fillId="2" borderId="19" xfId="2" applyFont="1" applyBorder="1" applyAlignment="1">
      <alignment horizontal="center" vertical="center" wrapText="1"/>
    </xf>
    <xf numFmtId="0" fontId="8" fillId="2" borderId="20" xfId="2" applyFont="1" applyBorder="1" applyAlignment="1">
      <alignment horizontal="center" vertical="center" wrapText="1"/>
    </xf>
    <xf numFmtId="0" fontId="8" fillId="4" borderId="1" xfId="2" applyFont="1" applyFill="1" applyBorder="1" applyAlignment="1">
      <alignment vertical="center" wrapText="1"/>
    </xf>
    <xf numFmtId="0" fontId="8" fillId="2" borderId="0" xfId="2" applyFont="1" applyBorder="1" applyAlignment="1">
      <alignment vertical="center" wrapText="1"/>
    </xf>
    <xf numFmtId="0" fontId="8" fillId="2" borderId="0" xfId="2" applyFont="1" applyBorder="1" applyAlignment="1">
      <alignment horizontal="center" vertical="center" wrapText="1"/>
    </xf>
    <xf numFmtId="0" fontId="16" fillId="5" borderId="26" xfId="1" applyFont="1" applyFill="1" applyBorder="1" applyAlignment="1">
      <alignment horizontal="center" vertical="center" wrapText="1" readingOrder="1"/>
    </xf>
    <xf numFmtId="0" fontId="17" fillId="0" borderId="26" xfId="1" applyFont="1" applyBorder="1" applyAlignment="1">
      <alignment horizontal="center" vertical="center" wrapText="1" readingOrder="1"/>
    </xf>
    <xf numFmtId="0" fontId="16" fillId="0" borderId="26" xfId="1" applyFont="1" applyBorder="1" applyAlignment="1">
      <alignment horizontal="center" vertical="center" wrapText="1" readingOrder="1"/>
    </xf>
    <xf numFmtId="0" fontId="16" fillId="6" borderId="26" xfId="1" applyFont="1" applyFill="1" applyBorder="1" applyAlignment="1">
      <alignment horizontal="center" vertical="center" wrapText="1" readingOrder="1"/>
    </xf>
    <xf numFmtId="0" fontId="6" fillId="2" borderId="9" xfId="1" applyFont="1" applyFill="1" applyBorder="1" applyAlignment="1">
      <alignment horizontal="center" vertical="center"/>
    </xf>
    <xf numFmtId="0" fontId="18" fillId="0" borderId="9" xfId="3" applyFont="1" applyBorder="1"/>
    <xf numFmtId="0" fontId="19" fillId="0" borderId="9" xfId="3" applyFont="1" applyBorder="1"/>
    <xf numFmtId="0" fontId="18" fillId="0" borderId="0" xfId="3" applyFont="1" applyAlignment="1">
      <alignment vertical="center"/>
    </xf>
    <xf numFmtId="0" fontId="18" fillId="0" borderId="0" xfId="3" applyFont="1"/>
    <xf numFmtId="0" fontId="19" fillId="0" borderId="9" xfId="3" applyFont="1" applyBorder="1" applyAlignment="1">
      <alignment vertical="center" wrapText="1"/>
    </xf>
    <xf numFmtId="0" fontId="18" fillId="7" borderId="9" xfId="3" applyFont="1" applyFill="1" applyBorder="1"/>
    <xf numFmtId="0" fontId="19" fillId="0" borderId="9" xfId="3" applyFont="1" applyBorder="1" applyAlignment="1">
      <alignment vertical="center"/>
    </xf>
    <xf numFmtId="0" fontId="18" fillId="8" borderId="9" xfId="3" applyFont="1" applyFill="1" applyBorder="1"/>
    <xf numFmtId="0" fontId="19" fillId="3" borderId="9" xfId="3" applyFont="1" applyFill="1" applyBorder="1" applyAlignment="1">
      <alignment vertical="center" wrapText="1"/>
    </xf>
    <xf numFmtId="0" fontId="18" fillId="10" borderId="9" xfId="3" applyFont="1" applyFill="1" applyBorder="1"/>
    <xf numFmtId="0" fontId="18" fillId="11" borderId="9" xfId="3" applyFont="1" applyFill="1" applyBorder="1"/>
    <xf numFmtId="0" fontId="24" fillId="0" borderId="9" xfId="3" applyFont="1" applyBorder="1" applyAlignment="1">
      <alignment vertical="center" wrapText="1"/>
    </xf>
    <xf numFmtId="0" fontId="19" fillId="0" borderId="0" xfId="3" applyFont="1" applyAlignment="1">
      <alignment vertical="center" wrapText="1"/>
    </xf>
    <xf numFmtId="0" fontId="18" fillId="7" borderId="9" xfId="3" applyFont="1" applyFill="1" applyBorder="1" applyAlignment="1">
      <alignment vertical="center"/>
    </xf>
    <xf numFmtId="0" fontId="24" fillId="7" borderId="9" xfId="3" applyFont="1" applyFill="1" applyBorder="1"/>
    <xf numFmtId="0" fontId="26" fillId="0" borderId="0" xfId="3" applyFont="1"/>
    <xf numFmtId="0" fontId="18" fillId="0" borderId="0" xfId="3" applyFont="1" applyAlignment="1">
      <alignment horizontal="left" vertical="top" wrapText="1"/>
    </xf>
    <xf numFmtId="0" fontId="18" fillId="0" borderId="0" xfId="3" applyFont="1" applyAlignment="1">
      <alignment horizontal="left" vertical="top"/>
    </xf>
    <xf numFmtId="0" fontId="16" fillId="0" borderId="21" xfId="1" applyFont="1" applyBorder="1" applyAlignment="1">
      <alignment horizontal="center" vertical="center" wrapText="1" readingOrder="1"/>
    </xf>
    <xf numFmtId="0" fontId="16" fillId="0" borderId="25" xfId="1" applyFont="1" applyBorder="1" applyAlignment="1">
      <alignment horizontal="center" vertical="center" wrapText="1" readingOrder="1"/>
    </xf>
    <xf numFmtId="0" fontId="16" fillId="0" borderId="28" xfId="1" applyFont="1" applyBorder="1" applyAlignment="1">
      <alignment horizontal="center" vertical="center" wrapText="1" readingOrder="1"/>
    </xf>
    <xf numFmtId="0" fontId="17" fillId="0" borderId="21" xfId="1" applyFont="1" applyBorder="1" applyAlignment="1">
      <alignment horizontal="center" vertical="center" wrapText="1" readingOrder="1"/>
    </xf>
    <xf numFmtId="0" fontId="17" fillId="0" borderId="25" xfId="1" applyFont="1" applyBorder="1" applyAlignment="1">
      <alignment horizontal="center" vertical="center" wrapText="1" readingOrder="1"/>
    </xf>
    <xf numFmtId="0" fontId="6" fillId="2" borderId="9" xfId="1" applyFont="1" applyFill="1" applyBorder="1" applyAlignment="1">
      <alignment horizontal="center" vertical="center"/>
    </xf>
    <xf numFmtId="0" fontId="16" fillId="5" borderId="21" xfId="1" applyFont="1" applyFill="1" applyBorder="1" applyAlignment="1">
      <alignment horizontal="center" vertical="center" wrapText="1" readingOrder="1"/>
    </xf>
    <xf numFmtId="0" fontId="16" fillId="5" borderId="25" xfId="1" applyFont="1" applyFill="1" applyBorder="1" applyAlignment="1">
      <alignment horizontal="center" vertical="center" wrapText="1" readingOrder="1"/>
    </xf>
    <xf numFmtId="0" fontId="16" fillId="5" borderId="22" xfId="1" applyFont="1" applyFill="1" applyBorder="1" applyAlignment="1">
      <alignment horizontal="center" vertical="center" wrapText="1" readingOrder="1"/>
    </xf>
    <xf numFmtId="0" fontId="16" fillId="5" borderId="23" xfId="1" applyFont="1" applyFill="1" applyBorder="1" applyAlignment="1">
      <alignment horizontal="center" vertical="center" wrapText="1" readingOrder="1"/>
    </xf>
    <xf numFmtId="0" fontId="16" fillId="5" borderId="24" xfId="1" applyFont="1" applyFill="1" applyBorder="1" applyAlignment="1">
      <alignment horizontal="center" vertical="center" wrapText="1" readingOrder="1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7" xfId="1" applyFont="1" applyFill="1" applyBorder="1" applyAlignment="1">
      <alignment horizontal="center" vertical="center"/>
    </xf>
    <xf numFmtId="0" fontId="27" fillId="0" borderId="1" xfId="3" applyFont="1" applyBorder="1"/>
    <xf numFmtId="0" fontId="27" fillId="0" borderId="27" xfId="3" applyFont="1" applyBorder="1"/>
    <xf numFmtId="0" fontId="27" fillId="0" borderId="20" xfId="3" applyFont="1" applyBorder="1"/>
    <xf numFmtId="0" fontId="4" fillId="0" borderId="0" xfId="3"/>
    <xf numFmtId="0" fontId="28" fillId="0" borderId="9" xfId="3" applyFont="1" applyBorder="1"/>
    <xf numFmtId="0" fontId="28" fillId="0" borderId="9" xfId="3" applyFont="1" applyBorder="1" applyAlignment="1">
      <alignment horizontal="center"/>
    </xf>
    <xf numFmtId="0" fontId="29" fillId="0" borderId="9" xfId="3" applyFont="1" applyBorder="1" applyAlignment="1">
      <alignment horizontal="center"/>
    </xf>
    <xf numFmtId="0" fontId="29" fillId="0" borderId="9" xfId="3" applyFont="1" applyBorder="1"/>
    <xf numFmtId="0" fontId="30" fillId="3" borderId="9" xfId="3" applyFont="1" applyFill="1" applyBorder="1" applyAlignment="1">
      <alignment horizontal="center"/>
    </xf>
    <xf numFmtId="0" fontId="31" fillId="0" borderId="9" xfId="3" applyFont="1" applyBorder="1"/>
    <xf numFmtId="0" fontId="32" fillId="3" borderId="9" xfId="3" applyFont="1" applyFill="1" applyBorder="1" applyAlignment="1">
      <alignment horizontal="center"/>
    </xf>
    <xf numFmtId="0" fontId="31" fillId="0" borderId="9" xfId="3" applyFont="1" applyBorder="1" applyAlignment="1">
      <alignment horizontal="center"/>
    </xf>
    <xf numFmtId="0" fontId="29" fillId="0" borderId="12" xfId="3" applyFont="1" applyBorder="1"/>
    <xf numFmtId="0" fontId="30" fillId="0" borderId="12" xfId="3" applyFont="1" applyBorder="1" applyAlignment="1">
      <alignment horizontal="center"/>
    </xf>
    <xf numFmtId="0" fontId="29" fillId="0" borderId="12" xfId="3" applyFont="1" applyBorder="1" applyAlignment="1">
      <alignment horizontal="center"/>
    </xf>
    <xf numFmtId="0" fontId="31" fillId="0" borderId="15" xfId="3" applyFont="1" applyBorder="1"/>
    <xf numFmtId="0" fontId="34" fillId="3" borderId="12" xfId="3" applyFont="1" applyFill="1" applyBorder="1" applyAlignment="1">
      <alignment horizontal="center"/>
    </xf>
    <xf numFmtId="0" fontId="31" fillId="0" borderId="12" xfId="3" applyFont="1" applyBorder="1" applyAlignment="1">
      <alignment horizontal="center"/>
    </xf>
    <xf numFmtId="0" fontId="31" fillId="0" borderId="14" xfId="3" applyFont="1" applyBorder="1" applyAlignment="1">
      <alignment horizontal="center"/>
    </xf>
    <xf numFmtId="0" fontId="29" fillId="0" borderId="30" xfId="3" applyFont="1" applyBorder="1"/>
    <xf numFmtId="0" fontId="35" fillId="3" borderId="29" xfId="3" applyFont="1" applyFill="1" applyBorder="1" applyAlignment="1">
      <alignment horizontal="center"/>
    </xf>
    <xf numFmtId="0" fontId="35" fillId="12" borderId="29" xfId="3" applyFont="1" applyFill="1" applyBorder="1" applyAlignment="1">
      <alignment horizontal="center"/>
    </xf>
    <xf numFmtId="0" fontId="35" fillId="12" borderId="31" xfId="3" applyFont="1" applyFill="1" applyBorder="1" applyAlignment="1">
      <alignment horizontal="center"/>
    </xf>
    <xf numFmtId="0" fontId="32" fillId="0" borderId="32" xfId="3" applyFont="1" applyBorder="1"/>
    <xf numFmtId="0" fontId="36" fillId="9" borderId="31" xfId="3" applyFont="1" applyFill="1" applyBorder="1" applyAlignment="1">
      <alignment horizontal="center"/>
    </xf>
    <xf numFmtId="0" fontId="31" fillId="0" borderId="29" xfId="3" applyFont="1" applyBorder="1" applyAlignment="1">
      <alignment horizontal="center"/>
    </xf>
    <xf numFmtId="0" fontId="37" fillId="0" borderId="32" xfId="3" applyFont="1" applyBorder="1"/>
    <xf numFmtId="0" fontId="35" fillId="12" borderId="33" xfId="3" applyFont="1" applyFill="1" applyBorder="1" applyAlignment="1">
      <alignment horizontal="center"/>
    </xf>
    <xf numFmtId="0" fontId="35" fillId="12" borderId="32" xfId="3" applyFont="1" applyFill="1" applyBorder="1" applyAlignment="1">
      <alignment horizontal="center"/>
    </xf>
    <xf numFmtId="0" fontId="29" fillId="0" borderId="29" xfId="3" applyFont="1" applyBorder="1"/>
    <xf numFmtId="0" fontId="29" fillId="0" borderId="0" xfId="3" applyFont="1"/>
    <xf numFmtId="0" fontId="31" fillId="0" borderId="30" xfId="3" applyFont="1" applyBorder="1"/>
    <xf numFmtId="0" fontId="34" fillId="3" borderId="9" xfId="3" applyFont="1" applyFill="1" applyBorder="1" applyAlignment="1">
      <alignment horizontal="center"/>
    </xf>
    <xf numFmtId="0" fontId="31" fillId="0" borderId="20" xfId="3" applyFont="1" applyBorder="1" applyAlignment="1">
      <alignment horizontal="center"/>
    </xf>
    <xf numFmtId="0" fontId="29" fillId="0" borderId="34" xfId="3" applyFont="1" applyBorder="1"/>
    <xf numFmtId="0" fontId="30" fillId="0" borderId="29" xfId="3" applyFont="1" applyBorder="1" applyAlignment="1">
      <alignment horizontal="center"/>
    </xf>
    <xf numFmtId="0" fontId="29" fillId="0" borderId="29" xfId="3" applyFont="1" applyBorder="1" applyAlignment="1">
      <alignment horizontal="center"/>
    </xf>
    <xf numFmtId="0" fontId="30" fillId="0" borderId="9" xfId="3" applyFont="1" applyBorder="1" applyAlignment="1">
      <alignment horizontal="center"/>
    </xf>
    <xf numFmtId="0" fontId="30" fillId="0" borderId="20" xfId="3" applyFont="1" applyBorder="1" applyAlignment="1">
      <alignment horizontal="center"/>
    </xf>
    <xf numFmtId="0" fontId="29" fillId="0" borderId="32" xfId="3" applyFont="1" applyBorder="1"/>
    <xf numFmtId="0" fontId="37" fillId="3" borderId="12" xfId="3" applyFont="1" applyFill="1" applyBorder="1" applyAlignment="1">
      <alignment horizontal="center"/>
    </xf>
    <xf numFmtId="0" fontId="31" fillId="3" borderId="29" xfId="3" applyFont="1" applyFill="1" applyBorder="1" applyAlignment="1">
      <alignment horizontal="center"/>
    </xf>
    <xf numFmtId="0" fontId="29" fillId="0" borderId="15" xfId="3" applyFont="1" applyBorder="1"/>
    <xf numFmtId="0" fontId="29" fillId="0" borderId="14" xfId="3" applyFont="1" applyBorder="1" applyAlignment="1">
      <alignment horizontal="center"/>
    </xf>
    <xf numFmtId="0" fontId="35" fillId="0" borderId="0" xfId="3" applyFont="1" applyAlignment="1">
      <alignment horizontal="center"/>
    </xf>
    <xf numFmtId="0" fontId="31" fillId="0" borderId="29" xfId="3" applyFont="1" applyBorder="1"/>
    <xf numFmtId="0" fontId="29" fillId="3" borderId="9" xfId="3" applyFont="1" applyFill="1" applyBorder="1" applyAlignment="1">
      <alignment horizontal="center"/>
    </xf>
    <xf numFmtId="0" fontId="29" fillId="13" borderId="9" xfId="3" applyFont="1" applyFill="1" applyBorder="1" applyAlignment="1">
      <alignment horizontal="center"/>
    </xf>
    <xf numFmtId="0" fontId="4" fillId="0" borderId="0" xfId="3" applyAlignment="1">
      <alignment horizontal="left"/>
    </xf>
    <xf numFmtId="0" fontId="31" fillId="13" borderId="9" xfId="3" applyFont="1" applyFill="1" applyBorder="1" applyAlignment="1">
      <alignment horizontal="center"/>
    </xf>
    <xf numFmtId="0" fontId="38" fillId="0" borderId="0" xfId="3" applyFont="1"/>
    <xf numFmtId="0" fontId="39" fillId="0" borderId="0" xfId="3" applyFont="1"/>
    <xf numFmtId="0" fontId="36" fillId="0" borderId="9" xfId="3" applyFont="1" applyBorder="1"/>
    <xf numFmtId="0" fontId="34" fillId="0" borderId="9" xfId="3" applyFont="1" applyBorder="1" applyAlignment="1">
      <alignment horizontal="center"/>
    </xf>
    <xf numFmtId="0" fontId="40" fillId="0" borderId="9" xfId="3" applyFont="1" applyBorder="1"/>
    <xf numFmtId="0" fontId="40" fillId="0" borderId="12" xfId="3" applyFont="1" applyBorder="1"/>
    <xf numFmtId="0" fontId="36" fillId="0" borderId="15" xfId="3" applyFont="1" applyBorder="1"/>
    <xf numFmtId="0" fontId="34" fillId="0" borderId="12" xfId="3" applyFont="1" applyBorder="1" applyAlignment="1">
      <alignment horizontal="center"/>
    </xf>
    <xf numFmtId="0" fontId="40" fillId="0" borderId="34" xfId="3" applyFont="1" applyBorder="1"/>
    <xf numFmtId="0" fontId="36" fillId="0" borderId="12" xfId="3" applyFont="1" applyBorder="1"/>
    <xf numFmtId="0" fontId="34" fillId="0" borderId="32" xfId="3" applyFont="1" applyBorder="1" applyAlignment="1">
      <alignment horizontal="center"/>
    </xf>
    <xf numFmtId="0" fontId="31" fillId="0" borderId="32" xfId="3" applyFont="1" applyBorder="1" applyAlignment="1">
      <alignment horizontal="center"/>
    </xf>
    <xf numFmtId="0" fontId="41" fillId="0" borderId="0" xfId="3" applyFont="1"/>
    <xf numFmtId="0" fontId="40" fillId="0" borderId="15" xfId="3" applyFont="1" applyBorder="1"/>
    <xf numFmtId="0" fontId="35" fillId="12" borderId="15" xfId="3" applyFont="1" applyFill="1" applyBorder="1" applyAlignment="1">
      <alignment horizontal="center"/>
    </xf>
    <xf numFmtId="0" fontId="35" fillId="12" borderId="35" xfId="3" applyFont="1" applyFill="1" applyBorder="1" applyAlignment="1">
      <alignment horizontal="center"/>
    </xf>
    <xf numFmtId="0" fontId="35" fillId="12" borderId="14" xfId="3" applyFont="1" applyFill="1" applyBorder="1" applyAlignment="1">
      <alignment horizontal="center"/>
    </xf>
    <xf numFmtId="0" fontId="40" fillId="0" borderId="30" xfId="3" applyFont="1" applyBorder="1"/>
    <xf numFmtId="0" fontId="35" fillId="12" borderId="30" xfId="3" applyFont="1" applyFill="1" applyBorder="1" applyAlignment="1">
      <alignment horizontal="center"/>
    </xf>
    <xf numFmtId="0" fontId="35" fillId="12" borderId="0" xfId="3" applyFont="1" applyFill="1" applyAlignment="1">
      <alignment horizontal="center"/>
    </xf>
    <xf numFmtId="0" fontId="35" fillId="12" borderId="34" xfId="3" applyFont="1" applyFill="1" applyBorder="1" applyAlignment="1">
      <alignment horizontal="center"/>
    </xf>
    <xf numFmtId="0" fontId="35" fillId="12" borderId="36" xfId="3" applyFont="1" applyFill="1" applyBorder="1" applyAlignment="1">
      <alignment horizontal="center"/>
    </xf>
    <xf numFmtId="0" fontId="36" fillId="0" borderId="29" xfId="3" applyFont="1" applyBorder="1"/>
    <xf numFmtId="0" fontId="34" fillId="0" borderId="29" xfId="3" applyFont="1" applyBorder="1" applyAlignment="1">
      <alignment horizontal="center"/>
    </xf>
    <xf numFmtId="0" fontId="40" fillId="3" borderId="9" xfId="3" applyFont="1" applyFill="1" applyBorder="1"/>
    <xf numFmtId="0" fontId="30" fillId="0" borderId="32" xfId="3" applyFont="1" applyBorder="1" applyAlignment="1">
      <alignment horizontal="center"/>
    </xf>
    <xf numFmtId="0" fontId="29" fillId="0" borderId="32" xfId="3" applyFont="1" applyBorder="1" applyAlignment="1">
      <alignment horizontal="center"/>
    </xf>
    <xf numFmtId="0" fontId="40" fillId="0" borderId="29" xfId="3" applyFont="1" applyBorder="1"/>
    <xf numFmtId="0" fontId="40" fillId="0" borderId="36" xfId="3" applyFont="1" applyBorder="1"/>
    <xf numFmtId="0" fontId="30" fillId="0" borderId="31" xfId="3" applyFont="1" applyBorder="1" applyAlignment="1">
      <alignment horizontal="center"/>
    </xf>
    <xf numFmtId="0" fontId="36" fillId="0" borderId="27" xfId="3" applyFont="1" applyBorder="1"/>
    <xf numFmtId="0" fontId="30" fillId="0" borderId="0" xfId="3" applyFont="1" applyAlignment="1">
      <alignment horizontal="center"/>
    </xf>
    <xf numFmtId="0" fontId="43" fillId="0" borderId="0" xfId="3" applyFont="1"/>
    <xf numFmtId="0" fontId="44" fillId="0" borderId="0" xfId="3" applyFont="1"/>
    <xf numFmtId="0" fontId="44" fillId="0" borderId="0" xfId="3" applyFont="1" applyAlignment="1">
      <alignment horizontal="center"/>
    </xf>
    <xf numFmtId="0" fontId="31" fillId="0" borderId="0" xfId="3" applyFont="1" applyAlignment="1">
      <alignment horizontal="center"/>
    </xf>
    <xf numFmtId="0" fontId="31" fillId="0" borderId="0" xfId="3" applyFont="1"/>
    <xf numFmtId="0" fontId="34" fillId="0" borderId="0" xfId="3" applyFont="1" applyAlignment="1">
      <alignment horizontal="center"/>
    </xf>
    <xf numFmtId="0" fontId="29" fillId="3" borderId="9" xfId="3" applyFont="1" applyFill="1" applyBorder="1"/>
    <xf numFmtId="0" fontId="29" fillId="3" borderId="29" xfId="3" applyFont="1" applyFill="1" applyBorder="1" applyAlignment="1">
      <alignment horizontal="center"/>
    </xf>
    <xf numFmtId="0" fontId="18" fillId="0" borderId="0" xfId="3" applyFont="1" applyFill="1"/>
    <xf numFmtId="0" fontId="18" fillId="0" borderId="0" xfId="3" applyFont="1" applyFill="1" applyAlignment="1">
      <alignment vertical="center"/>
    </xf>
    <xf numFmtId="0" fontId="25" fillId="0" borderId="0" xfId="3" applyFont="1" applyFill="1"/>
    <xf numFmtId="0" fontId="18" fillId="0" borderId="0" xfId="3" applyFont="1" applyFill="1" applyAlignment="1">
      <alignment vertical="center" wrapText="1"/>
    </xf>
    <xf numFmtId="0" fontId="22" fillId="0" borderId="0" xfId="3" applyFont="1" applyFill="1"/>
    <xf numFmtId="0" fontId="8" fillId="0" borderId="1" xfId="2" applyFont="1" applyFill="1" applyBorder="1" applyAlignment="1">
      <alignment vertical="center" wrapText="1"/>
    </xf>
    <xf numFmtId="0" fontId="8" fillId="0" borderId="8" xfId="2" applyFont="1" applyFill="1" applyBorder="1" applyAlignment="1">
      <alignment horizontal="center" vertical="center" wrapText="1"/>
    </xf>
    <xf numFmtId="0" fontId="8" fillId="0" borderId="9" xfId="2" applyFont="1" applyFill="1" applyBorder="1" applyAlignment="1">
      <alignment horizontal="center" vertical="center" wrapText="1"/>
    </xf>
    <xf numFmtId="0" fontId="8" fillId="0" borderId="10" xfId="2" applyFont="1" applyFill="1" applyBorder="1" applyAlignment="1">
      <alignment horizontal="center" vertical="center" wrapText="1"/>
    </xf>
    <xf numFmtId="0" fontId="1" fillId="0" borderId="0" xfId="1" applyFill="1">
      <alignment vertical="center"/>
    </xf>
    <xf numFmtId="0" fontId="4" fillId="0" borderId="0" xfId="3" applyFill="1"/>
    <xf numFmtId="0" fontId="29" fillId="0" borderId="0" xfId="3" applyFont="1" applyFill="1"/>
    <xf numFmtId="0" fontId="33" fillId="0" borderId="0" xfId="3" applyFont="1" applyFill="1"/>
  </cellXfs>
  <cellStyles count="4">
    <cellStyle name="40% - 着色 5 3 3 2" xfId="2" xr:uid="{37941C7C-4B95-4A94-8D66-49569C391808}"/>
    <cellStyle name="常规" xfId="0" builtinId="0"/>
    <cellStyle name="常规 2" xfId="1" xr:uid="{F613725A-56AB-4598-874E-68016F5516A1}"/>
    <cellStyle name="常规 3" xfId="3" xr:uid="{72535F03-BAFD-41BC-94ED-E6EAA14C2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679175</xdr:colOff>
      <xdr:row>28</xdr:row>
      <xdr:rowOff>57979</xdr:rowOff>
    </xdr:from>
    <xdr:to>
      <xdr:col>18</xdr:col>
      <xdr:colOff>209965</xdr:colOff>
      <xdr:row>51</xdr:row>
      <xdr:rowOff>9008</xdr:rowOff>
    </xdr:to>
    <xdr:pic>
      <xdr:nvPicPr>
        <xdr:cNvPr id="2" name="CF1421AC-4A7B-4C6B-BE5C-9076BFEF75C4" descr="C:\Users\y00437863\AppData\Roaming\eSpace_Desktop\UserData\y00437863\imagefiles\CF1421AC-4A7B-4C6B-BE5C-9076BFEF75C4.png">
          <a:extLst>
            <a:ext uri="{FF2B5EF4-FFF2-40B4-BE49-F238E27FC236}">
              <a16:creationId xmlns:a16="http://schemas.microsoft.com/office/drawing/2014/main" id="{87B4F75C-1C94-4E21-84F1-EE952182A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442675" y="7992304"/>
          <a:ext cx="8446190" cy="40789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652095</xdr:colOff>
      <xdr:row>0</xdr:row>
      <xdr:rowOff>166125</xdr:rowOff>
    </xdr:from>
    <xdr:to>
      <xdr:col>10</xdr:col>
      <xdr:colOff>497595</xdr:colOff>
      <xdr:row>13</xdr:row>
      <xdr:rowOff>168958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9AB3DAF-9B61-48C4-BD06-A5EADA2EC24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93422" y="166125"/>
          <a:ext cx="2600423" cy="2384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90D8-B300-405A-BDD3-225407702F57}">
  <dimension ref="A1:R178"/>
  <sheetViews>
    <sheetView zoomScaleNormal="100" workbookViewId="0">
      <selection activeCell="A179" sqref="A179"/>
    </sheetView>
  </sheetViews>
  <sheetFormatPr defaultColWidth="9" defaultRowHeight="14.25" x14ac:dyDescent="0.2"/>
  <cols>
    <col min="1" max="1" width="36.25" style="1" customWidth="1"/>
    <col min="2" max="2" width="7.75" style="3" customWidth="1"/>
    <col min="3" max="3" width="9.75" style="3" customWidth="1"/>
    <col min="4" max="4" width="4.875" style="3" bestFit="1" customWidth="1"/>
    <col min="5" max="5" width="28.875" style="1" customWidth="1"/>
    <col min="6" max="6" width="31.125" style="1" customWidth="1"/>
    <col min="7" max="7" width="28.625" style="1" customWidth="1"/>
    <col min="8" max="8" width="22.875" style="1" customWidth="1"/>
    <col min="9" max="9" width="20.125" style="1" customWidth="1"/>
    <col min="10" max="16384" width="9" style="1"/>
  </cols>
  <sheetData>
    <row r="1" spans="1:5" ht="15" thickBot="1" x14ac:dyDescent="0.25">
      <c r="A1" s="1" t="s">
        <v>0</v>
      </c>
      <c r="B1" s="2"/>
    </row>
    <row r="2" spans="1:5" ht="20.25" x14ac:dyDescent="0.2">
      <c r="A2" s="5"/>
      <c r="B2" s="70" t="s">
        <v>1</v>
      </c>
      <c r="C2" s="71"/>
      <c r="D2" s="72"/>
    </row>
    <row r="3" spans="1:5" ht="15" x14ac:dyDescent="0.2">
      <c r="A3" s="6"/>
      <c r="B3" s="7" t="s">
        <v>2</v>
      </c>
      <c r="C3" s="8" t="s">
        <v>3</v>
      </c>
      <c r="D3" s="9" t="s">
        <v>4</v>
      </c>
    </row>
    <row r="4" spans="1:5" ht="15" x14ac:dyDescent="0.2">
      <c r="A4" s="10" t="s">
        <v>5</v>
      </c>
      <c r="B4" s="7">
        <v>4</v>
      </c>
      <c r="C4" s="8">
        <f>D4+B4-1</f>
        <v>3</v>
      </c>
      <c r="D4" s="9">
        <v>0</v>
      </c>
    </row>
    <row r="5" spans="1:5" ht="15" x14ac:dyDescent="0.2">
      <c r="A5" s="11" t="s">
        <v>6</v>
      </c>
      <c r="B5" s="12"/>
      <c r="C5" s="13"/>
      <c r="D5" s="14"/>
    </row>
    <row r="6" spans="1:5" ht="15" x14ac:dyDescent="0.2">
      <c r="A6" s="15" t="s">
        <v>7</v>
      </c>
      <c r="B6" s="7">
        <v>6</v>
      </c>
      <c r="C6" s="8">
        <f>D6+B6-1</f>
        <v>9</v>
      </c>
      <c r="D6" s="9">
        <f>C4+1</f>
        <v>4</v>
      </c>
    </row>
    <row r="7" spans="1:5" ht="15" x14ac:dyDescent="0.2">
      <c r="A7" s="10" t="s">
        <v>8</v>
      </c>
      <c r="B7" s="7">
        <v>10</v>
      </c>
      <c r="C7" s="8">
        <f t="shared" ref="C7:C26" si="0">D7+B7-1</f>
        <v>19</v>
      </c>
      <c r="D7" s="9">
        <f t="shared" ref="D7:D26" si="1">C6+1</f>
        <v>10</v>
      </c>
    </row>
    <row r="8" spans="1:5" ht="15" x14ac:dyDescent="0.2">
      <c r="A8" s="16" t="s">
        <v>9</v>
      </c>
      <c r="B8" s="7">
        <v>1</v>
      </c>
      <c r="C8" s="8">
        <f t="shared" si="0"/>
        <v>20</v>
      </c>
      <c r="D8" s="9">
        <f t="shared" si="1"/>
        <v>20</v>
      </c>
      <c r="E8" s="17"/>
    </row>
    <row r="9" spans="1:5" ht="15" x14ac:dyDescent="0.2">
      <c r="A9" s="10" t="s">
        <v>10</v>
      </c>
      <c r="B9" s="7">
        <v>7</v>
      </c>
      <c r="C9" s="8">
        <f t="shared" si="0"/>
        <v>27</v>
      </c>
      <c r="D9" s="9">
        <f t="shared" si="1"/>
        <v>21</v>
      </c>
      <c r="E9" s="18"/>
    </row>
    <row r="10" spans="1:5" ht="15" x14ac:dyDescent="0.2">
      <c r="A10" s="10" t="s">
        <v>11</v>
      </c>
      <c r="B10" s="7">
        <v>3</v>
      </c>
      <c r="C10" s="8">
        <f t="shared" si="0"/>
        <v>30</v>
      </c>
      <c r="D10" s="9">
        <f t="shared" si="1"/>
        <v>28</v>
      </c>
    </row>
    <row r="11" spans="1:5" ht="15" x14ac:dyDescent="0.2">
      <c r="A11" s="10" t="s">
        <v>12</v>
      </c>
      <c r="B11" s="7">
        <v>36</v>
      </c>
      <c r="C11" s="8">
        <f t="shared" si="0"/>
        <v>66</v>
      </c>
      <c r="D11" s="9">
        <f t="shared" si="1"/>
        <v>31</v>
      </c>
      <c r="E11" s="17"/>
    </row>
    <row r="12" spans="1:5" ht="15" x14ac:dyDescent="0.2">
      <c r="A12" s="10" t="s">
        <v>13</v>
      </c>
      <c r="B12" s="7">
        <v>1</v>
      </c>
      <c r="C12" s="8">
        <f t="shared" si="0"/>
        <v>67</v>
      </c>
      <c r="D12" s="9">
        <f>C11+1</f>
        <v>67</v>
      </c>
    </row>
    <row r="13" spans="1:5" ht="15" x14ac:dyDescent="0.2">
      <c r="A13" s="11" t="s">
        <v>14</v>
      </c>
      <c r="B13" s="11"/>
      <c r="C13" s="11"/>
      <c r="D13" s="11"/>
    </row>
    <row r="14" spans="1:5" ht="15" x14ac:dyDescent="0.2">
      <c r="A14" s="10" t="s">
        <v>15</v>
      </c>
      <c r="B14" s="7">
        <v>2</v>
      </c>
      <c r="C14" s="8">
        <f t="shared" si="0"/>
        <v>69</v>
      </c>
      <c r="D14" s="9">
        <f>C12+ 1</f>
        <v>68</v>
      </c>
      <c r="E14" s="19"/>
    </row>
    <row r="15" spans="1:5" ht="15" x14ac:dyDescent="0.2">
      <c r="A15" s="10" t="s">
        <v>16</v>
      </c>
      <c r="B15" s="7">
        <v>4</v>
      </c>
      <c r="C15" s="8">
        <f t="shared" si="0"/>
        <v>73</v>
      </c>
      <c r="D15" s="9">
        <f>C14+1</f>
        <v>70</v>
      </c>
    </row>
    <row r="16" spans="1:5" ht="15" x14ac:dyDescent="0.2">
      <c r="A16" s="10" t="s">
        <v>17</v>
      </c>
      <c r="B16" s="7">
        <v>1</v>
      </c>
      <c r="C16" s="8">
        <f t="shared" si="0"/>
        <v>74</v>
      </c>
      <c r="D16" s="9">
        <f>C15+1</f>
        <v>74</v>
      </c>
    </row>
    <row r="17" spans="1:5" s="175" customFormat="1" ht="15" x14ac:dyDescent="0.2">
      <c r="A17" s="171" t="s">
        <v>18</v>
      </c>
      <c r="B17" s="172">
        <v>2</v>
      </c>
      <c r="C17" s="173">
        <f t="shared" si="0"/>
        <v>76</v>
      </c>
      <c r="D17" s="174">
        <f t="shared" si="1"/>
        <v>75</v>
      </c>
    </row>
    <row r="18" spans="1:5" ht="15" x14ac:dyDescent="0.2">
      <c r="A18" s="10" t="s">
        <v>19</v>
      </c>
      <c r="B18" s="7">
        <v>1</v>
      </c>
      <c r="C18" s="8">
        <f t="shared" si="0"/>
        <v>77</v>
      </c>
      <c r="D18" s="9">
        <f t="shared" si="1"/>
        <v>77</v>
      </c>
    </row>
    <row r="19" spans="1:5" ht="15" x14ac:dyDescent="0.2">
      <c r="A19" s="10" t="s">
        <v>20</v>
      </c>
      <c r="B19" s="7">
        <v>1</v>
      </c>
      <c r="C19" s="8">
        <f t="shared" si="0"/>
        <v>78</v>
      </c>
      <c r="D19" s="9">
        <f t="shared" si="1"/>
        <v>78</v>
      </c>
      <c r="E19" s="18"/>
    </row>
    <row r="20" spans="1:5" ht="15" x14ac:dyDescent="0.2">
      <c r="A20" s="10" t="s">
        <v>21</v>
      </c>
      <c r="B20" s="7">
        <v>1</v>
      </c>
      <c r="C20" s="8">
        <f t="shared" si="0"/>
        <v>79</v>
      </c>
      <c r="D20" s="9">
        <f t="shared" si="1"/>
        <v>79</v>
      </c>
      <c r="E20" s="20"/>
    </row>
    <row r="21" spans="1:5" ht="15" x14ac:dyDescent="0.2">
      <c r="A21" s="10" t="s">
        <v>22</v>
      </c>
      <c r="B21" s="7">
        <v>1</v>
      </c>
      <c r="C21" s="8">
        <f t="shared" si="0"/>
        <v>80</v>
      </c>
      <c r="D21" s="9">
        <f t="shared" si="1"/>
        <v>80</v>
      </c>
    </row>
    <row r="22" spans="1:5" ht="15" x14ac:dyDescent="0.2">
      <c r="A22" s="10" t="s">
        <v>23</v>
      </c>
      <c r="B22" s="7">
        <v>4</v>
      </c>
      <c r="C22" s="8">
        <f t="shared" si="0"/>
        <v>84</v>
      </c>
      <c r="D22" s="9">
        <f t="shared" si="1"/>
        <v>81</v>
      </c>
    </row>
    <row r="23" spans="1:5" ht="15" x14ac:dyDescent="0.2">
      <c r="A23" s="10" t="s">
        <v>24</v>
      </c>
      <c r="B23" s="7">
        <v>4</v>
      </c>
      <c r="C23" s="8">
        <f t="shared" si="0"/>
        <v>88</v>
      </c>
      <c r="D23" s="9">
        <f t="shared" si="1"/>
        <v>85</v>
      </c>
    </row>
    <row r="24" spans="1:5" ht="15" x14ac:dyDescent="0.2">
      <c r="A24" s="10" t="s">
        <v>25</v>
      </c>
      <c r="B24" s="7">
        <v>1</v>
      </c>
      <c r="C24" s="8">
        <f t="shared" si="0"/>
        <v>89</v>
      </c>
      <c r="D24" s="9">
        <f t="shared" si="1"/>
        <v>89</v>
      </c>
    </row>
    <row r="25" spans="1:5" ht="15" x14ac:dyDescent="0.2">
      <c r="A25" s="10" t="s">
        <v>26</v>
      </c>
      <c r="B25" s="7">
        <v>4</v>
      </c>
      <c r="C25" s="8">
        <f t="shared" si="0"/>
        <v>93</v>
      </c>
      <c r="D25" s="9">
        <f t="shared" si="1"/>
        <v>90</v>
      </c>
      <c r="E25" s="18"/>
    </row>
    <row r="26" spans="1:5" ht="15" x14ac:dyDescent="0.2">
      <c r="A26" s="16" t="s">
        <v>27</v>
      </c>
      <c r="B26" s="7">
        <v>1</v>
      </c>
      <c r="C26" s="8">
        <f t="shared" si="0"/>
        <v>94</v>
      </c>
      <c r="D26" s="9">
        <f t="shared" si="1"/>
        <v>94</v>
      </c>
      <c r="E26" s="18"/>
    </row>
    <row r="27" spans="1:5" ht="15" x14ac:dyDescent="0.2">
      <c r="A27" s="21" t="s">
        <v>28</v>
      </c>
      <c r="B27" s="22">
        <v>1</v>
      </c>
      <c r="C27" s="23">
        <f>D27+B27-1</f>
        <v>95</v>
      </c>
      <c r="D27" s="24">
        <f>C26+1</f>
        <v>95</v>
      </c>
      <c r="E27" s="18"/>
    </row>
    <row r="28" spans="1:5" ht="15" x14ac:dyDescent="0.2">
      <c r="A28" s="11" t="s">
        <v>29</v>
      </c>
      <c r="B28" s="12"/>
      <c r="C28" s="13"/>
      <c r="D28" s="14"/>
    </row>
    <row r="29" spans="1:5" ht="15" x14ac:dyDescent="0.2">
      <c r="A29" s="21" t="s">
        <v>30</v>
      </c>
      <c r="B29" s="22">
        <v>1</v>
      </c>
      <c r="C29" s="23">
        <f>D29+B29-1</f>
        <v>96</v>
      </c>
      <c r="D29" s="24">
        <f>C27+1</f>
        <v>96</v>
      </c>
    </row>
    <row r="31" spans="1:5" ht="15.75" thickBot="1" x14ac:dyDescent="0.25">
      <c r="A31" s="10" t="s">
        <v>31</v>
      </c>
      <c r="B31" s="25">
        <f>SUM(B4:B29)</f>
        <v>97</v>
      </c>
      <c r="C31" s="26">
        <f>D31:D36+B31-1</f>
        <v>96</v>
      </c>
      <c r="D31" s="27">
        <v>0</v>
      </c>
    </row>
    <row r="32" spans="1:5" ht="15" thickBot="1" x14ac:dyDescent="0.25">
      <c r="A32" s="1" t="s">
        <v>32</v>
      </c>
    </row>
    <row r="33" spans="1:4" ht="20.25" x14ac:dyDescent="0.2">
      <c r="A33" s="5"/>
      <c r="B33" s="70" t="s">
        <v>33</v>
      </c>
      <c r="C33" s="71"/>
      <c r="D33" s="72"/>
    </row>
    <row r="34" spans="1:4" ht="15" x14ac:dyDescent="0.2">
      <c r="A34" s="6"/>
      <c r="B34" s="7" t="s">
        <v>2</v>
      </c>
      <c r="C34" s="8" t="s">
        <v>3</v>
      </c>
      <c r="D34" s="9" t="s">
        <v>4</v>
      </c>
    </row>
    <row r="35" spans="1:4" ht="154.5" customHeight="1" x14ac:dyDescent="0.2">
      <c r="A35" s="10" t="s">
        <v>34</v>
      </c>
      <c r="B35" s="7">
        <v>2</v>
      </c>
      <c r="C35" s="8">
        <v>1</v>
      </c>
      <c r="D35" s="9">
        <v>0</v>
      </c>
    </row>
    <row r="36" spans="1:4" ht="15" thickBot="1" x14ac:dyDescent="0.25">
      <c r="A36" s="1" t="s">
        <v>35</v>
      </c>
    </row>
    <row r="37" spans="1:4" ht="20.25" x14ac:dyDescent="0.2">
      <c r="A37" s="5"/>
      <c r="B37" s="70" t="s">
        <v>33</v>
      </c>
      <c r="C37" s="71"/>
      <c r="D37" s="72"/>
    </row>
    <row r="38" spans="1:4" ht="15" x14ac:dyDescent="0.2">
      <c r="A38" s="6"/>
      <c r="B38" s="7" t="s">
        <v>2</v>
      </c>
      <c r="C38" s="8" t="s">
        <v>3</v>
      </c>
      <c r="D38" s="9" t="s">
        <v>4</v>
      </c>
    </row>
    <row r="39" spans="1:4" ht="15" x14ac:dyDescent="0.2">
      <c r="A39" s="10" t="s">
        <v>36</v>
      </c>
      <c r="B39" s="7">
        <v>5</v>
      </c>
      <c r="C39" s="8">
        <v>4</v>
      </c>
      <c r="D39" s="9">
        <v>0</v>
      </c>
    </row>
    <row r="40" spans="1:4" ht="15" x14ac:dyDescent="0.2">
      <c r="A40" s="10" t="s">
        <v>37</v>
      </c>
      <c r="B40" s="7">
        <v>5</v>
      </c>
      <c r="C40" s="8">
        <f>D40+B40-1</f>
        <v>9</v>
      </c>
      <c r="D40" s="9">
        <v>5</v>
      </c>
    </row>
    <row r="41" spans="1:4" ht="15" x14ac:dyDescent="0.2">
      <c r="A41" s="10" t="s">
        <v>38</v>
      </c>
      <c r="B41" s="7">
        <v>10</v>
      </c>
      <c r="C41" s="8">
        <f>D41+B41-1</f>
        <v>19</v>
      </c>
      <c r="D41" s="9">
        <f>C40+1</f>
        <v>10</v>
      </c>
    </row>
    <row r="42" spans="1:4" ht="15" x14ac:dyDescent="0.2">
      <c r="A42" s="10" t="s">
        <v>39</v>
      </c>
      <c r="B42" s="7">
        <v>4</v>
      </c>
      <c r="C42" s="8">
        <f t="shared" ref="C42:C48" si="2">D42+B42-1</f>
        <v>23</v>
      </c>
      <c r="D42" s="9">
        <f>C41+1</f>
        <v>20</v>
      </c>
    </row>
    <row r="43" spans="1:4" ht="15" x14ac:dyDescent="0.2">
      <c r="A43" s="10" t="s">
        <v>40</v>
      </c>
      <c r="B43" s="7">
        <v>2</v>
      </c>
      <c r="C43" s="8">
        <f t="shared" si="2"/>
        <v>25</v>
      </c>
      <c r="D43" s="9">
        <f>C42+1</f>
        <v>24</v>
      </c>
    </row>
    <row r="44" spans="1:4" ht="15" x14ac:dyDescent="0.2">
      <c r="A44" s="10" t="s">
        <v>41</v>
      </c>
      <c r="B44" s="7">
        <v>3</v>
      </c>
      <c r="C44" s="8">
        <f t="shared" si="2"/>
        <v>28</v>
      </c>
      <c r="D44" s="9">
        <f>C43+1</f>
        <v>26</v>
      </c>
    </row>
    <row r="45" spans="1:4" ht="15" x14ac:dyDescent="0.2">
      <c r="A45" s="11" t="s">
        <v>42</v>
      </c>
      <c r="B45" s="12"/>
      <c r="C45" s="13"/>
      <c r="D45" s="14"/>
    </row>
    <row r="46" spans="1:4" ht="15" x14ac:dyDescent="0.2">
      <c r="A46" s="11" t="s">
        <v>43</v>
      </c>
      <c r="B46" s="12"/>
      <c r="C46" s="13"/>
      <c r="D46" s="14"/>
    </row>
    <row r="47" spans="1:4" ht="15" x14ac:dyDescent="0.2">
      <c r="A47" s="21" t="s">
        <v>44</v>
      </c>
      <c r="B47" s="7">
        <v>1</v>
      </c>
      <c r="C47" s="8">
        <f>D47+B47-1</f>
        <v>29</v>
      </c>
      <c r="D47" s="9">
        <f>C44+1</f>
        <v>29</v>
      </c>
    </row>
    <row r="48" spans="1:4" ht="15.75" thickBot="1" x14ac:dyDescent="0.25">
      <c r="A48" s="10" t="s">
        <v>45</v>
      </c>
      <c r="B48" s="25">
        <f>SUM(B39:B47)</f>
        <v>30</v>
      </c>
      <c r="C48" s="26">
        <f t="shared" si="2"/>
        <v>29</v>
      </c>
      <c r="D48" s="27">
        <v>0</v>
      </c>
    </row>
    <row r="51" spans="1:16" ht="15" thickBot="1" x14ac:dyDescent="0.25">
      <c r="A51" s="1" t="s">
        <v>46</v>
      </c>
    </row>
    <row r="52" spans="1:16" ht="20.25" x14ac:dyDescent="0.2">
      <c r="A52" s="28"/>
      <c r="B52" s="70" t="s">
        <v>33</v>
      </c>
      <c r="C52" s="71"/>
      <c r="D52" s="72"/>
    </row>
    <row r="53" spans="1:16" ht="15" x14ac:dyDescent="0.2">
      <c r="A53" s="10"/>
      <c r="B53" s="7" t="s">
        <v>2</v>
      </c>
      <c r="C53" s="8" t="s">
        <v>3</v>
      </c>
      <c r="D53" s="9" t="s">
        <v>4</v>
      </c>
    </row>
    <row r="54" spans="1:16" ht="15" x14ac:dyDescent="0.2">
      <c r="A54" s="10" t="s">
        <v>37</v>
      </c>
      <c r="B54" s="7">
        <v>5</v>
      </c>
      <c r="C54" s="8">
        <f>D54+B54-1</f>
        <v>4</v>
      </c>
      <c r="D54" s="9">
        <v>0</v>
      </c>
    </row>
    <row r="55" spans="1:16" ht="15" x14ac:dyDescent="0.2">
      <c r="A55" s="10" t="s">
        <v>38</v>
      </c>
      <c r="B55" s="7">
        <v>10</v>
      </c>
      <c r="C55" s="8">
        <f>D55+B55-1</f>
        <v>14</v>
      </c>
      <c r="D55" s="9">
        <f>C54+1</f>
        <v>5</v>
      </c>
    </row>
    <row r="56" spans="1:16" ht="15" x14ac:dyDescent="0.2">
      <c r="A56" s="10" t="s">
        <v>39</v>
      </c>
      <c r="B56" s="7">
        <v>5</v>
      </c>
      <c r="C56" s="8">
        <f t="shared" ref="C56:C67" si="3">D56+B56-1</f>
        <v>19</v>
      </c>
      <c r="D56" s="9">
        <f t="shared" ref="D56:D66" si="4">C55+1</f>
        <v>15</v>
      </c>
    </row>
    <row r="57" spans="1:16" ht="15" x14ac:dyDescent="0.2">
      <c r="A57" s="10" t="s">
        <v>40</v>
      </c>
      <c r="B57" s="7">
        <v>2</v>
      </c>
      <c r="C57" s="8">
        <f t="shared" si="3"/>
        <v>21</v>
      </c>
      <c r="D57" s="9">
        <f t="shared" si="4"/>
        <v>20</v>
      </c>
    </row>
    <row r="58" spans="1:16" ht="15" x14ac:dyDescent="0.2">
      <c r="A58" s="10" t="s">
        <v>41</v>
      </c>
      <c r="B58" s="7">
        <v>3</v>
      </c>
      <c r="C58" s="8">
        <f t="shared" si="3"/>
        <v>24</v>
      </c>
      <c r="D58" s="9">
        <f t="shared" si="4"/>
        <v>22</v>
      </c>
    </row>
    <row r="59" spans="1:16" ht="15" x14ac:dyDescent="0.2">
      <c r="A59" s="10" t="s">
        <v>47</v>
      </c>
      <c r="B59" s="7">
        <v>10</v>
      </c>
      <c r="C59" s="8">
        <f t="shared" si="3"/>
        <v>34</v>
      </c>
      <c r="D59" s="9">
        <f t="shared" si="4"/>
        <v>25</v>
      </c>
      <c r="E59" s="17"/>
    </row>
    <row r="60" spans="1:16" ht="15" x14ac:dyDescent="0.2">
      <c r="A60" s="10" t="s">
        <v>43</v>
      </c>
      <c r="B60" s="7">
        <v>1</v>
      </c>
      <c r="C60" s="8">
        <f t="shared" si="3"/>
        <v>35</v>
      </c>
      <c r="D60" s="9">
        <f t="shared" si="4"/>
        <v>35</v>
      </c>
      <c r="J60" s="175"/>
      <c r="K60" s="175"/>
      <c r="L60" s="175"/>
      <c r="M60" s="175"/>
      <c r="N60" s="175"/>
      <c r="O60" s="175"/>
      <c r="P60" s="175"/>
    </row>
    <row r="61" spans="1:16" ht="15" x14ac:dyDescent="0.2">
      <c r="A61" s="10" t="s">
        <v>48</v>
      </c>
      <c r="B61" s="7">
        <v>1</v>
      </c>
      <c r="C61" s="8">
        <f t="shared" si="3"/>
        <v>36</v>
      </c>
      <c r="D61" s="9">
        <f t="shared" si="4"/>
        <v>36</v>
      </c>
      <c r="E61" s="18"/>
      <c r="J61" s="175"/>
      <c r="K61" s="175"/>
      <c r="L61" s="175"/>
      <c r="M61" s="175"/>
      <c r="N61" s="175"/>
      <c r="O61" s="175"/>
      <c r="P61" s="175"/>
    </row>
    <row r="62" spans="1:16" ht="15" x14ac:dyDescent="0.2">
      <c r="A62" s="10" t="s">
        <v>49</v>
      </c>
      <c r="B62" s="7">
        <v>1</v>
      </c>
      <c r="C62" s="8">
        <f t="shared" si="3"/>
        <v>37</v>
      </c>
      <c r="D62" s="9">
        <f t="shared" si="4"/>
        <v>37</v>
      </c>
      <c r="J62" s="175"/>
      <c r="K62" s="175"/>
      <c r="L62" s="175"/>
      <c r="M62" s="175"/>
      <c r="N62" s="175"/>
      <c r="O62" s="175"/>
      <c r="P62" s="175"/>
    </row>
    <row r="63" spans="1:16" ht="15" x14ac:dyDescent="0.2">
      <c r="A63" s="10" t="s">
        <v>50</v>
      </c>
      <c r="B63" s="7">
        <v>1</v>
      </c>
      <c r="C63" s="8">
        <f t="shared" si="3"/>
        <v>38</v>
      </c>
      <c r="D63" s="9">
        <f t="shared" si="4"/>
        <v>38</v>
      </c>
      <c r="J63" s="175"/>
      <c r="K63" s="175"/>
      <c r="L63" s="175"/>
      <c r="M63" s="175"/>
      <c r="N63" s="175"/>
      <c r="O63" s="175"/>
      <c r="P63" s="175"/>
    </row>
    <row r="64" spans="1:16" ht="15" x14ac:dyDescent="0.2">
      <c r="A64" s="10" t="s">
        <v>51</v>
      </c>
      <c r="B64" s="7">
        <v>1</v>
      </c>
      <c r="C64" s="8">
        <f t="shared" si="3"/>
        <v>39</v>
      </c>
      <c r="D64" s="9">
        <f t="shared" si="4"/>
        <v>39</v>
      </c>
      <c r="J64" s="175"/>
      <c r="K64" s="175"/>
      <c r="L64" s="175"/>
      <c r="M64" s="175"/>
      <c r="N64" s="175"/>
      <c r="O64" s="175"/>
      <c r="P64" s="175"/>
    </row>
    <row r="65" spans="1:17" ht="15" x14ac:dyDescent="0.2">
      <c r="A65" s="29" t="s">
        <v>52</v>
      </c>
      <c r="B65" s="7">
        <v>1</v>
      </c>
      <c r="C65" s="8">
        <f t="shared" si="3"/>
        <v>40</v>
      </c>
      <c r="D65" s="9">
        <f t="shared" si="4"/>
        <v>40</v>
      </c>
      <c r="J65" s="175"/>
      <c r="K65" s="175"/>
      <c r="L65" s="175"/>
      <c r="M65" s="175"/>
      <c r="N65" s="175"/>
      <c r="O65" s="175"/>
      <c r="P65" s="175"/>
    </row>
    <row r="66" spans="1:17" ht="15" x14ac:dyDescent="0.2">
      <c r="A66" s="29" t="s">
        <v>53</v>
      </c>
      <c r="B66" s="7">
        <v>1</v>
      </c>
      <c r="C66" s="8">
        <f t="shared" si="3"/>
        <v>41</v>
      </c>
      <c r="D66" s="9">
        <f t="shared" si="4"/>
        <v>41</v>
      </c>
      <c r="J66" s="175"/>
      <c r="K66" s="175"/>
      <c r="L66" s="175"/>
      <c r="M66" s="175"/>
      <c r="N66" s="175"/>
      <c r="O66" s="175"/>
      <c r="P66" s="175"/>
    </row>
    <row r="67" spans="1:17" ht="15.75" thickBot="1" x14ac:dyDescent="0.25">
      <c r="A67" s="10" t="s">
        <v>45</v>
      </c>
      <c r="B67" s="25">
        <f>SUM(B54:B66)</f>
        <v>42</v>
      </c>
      <c r="C67" s="26">
        <f t="shared" si="3"/>
        <v>41</v>
      </c>
      <c r="D67" s="27">
        <v>0</v>
      </c>
      <c r="J67" s="175"/>
      <c r="K67" s="175"/>
      <c r="L67" s="175"/>
      <c r="M67" s="175"/>
      <c r="N67" s="175"/>
      <c r="O67" s="175"/>
      <c r="P67" s="175"/>
    </row>
    <row r="70" spans="1:17" ht="15" thickBot="1" x14ac:dyDescent="0.25">
      <c r="A70" s="1" t="s">
        <v>54</v>
      </c>
    </row>
    <row r="71" spans="1:17" ht="20.25" x14ac:dyDescent="0.2">
      <c r="A71" s="5"/>
      <c r="B71" s="70" t="s">
        <v>33</v>
      </c>
      <c r="C71" s="71"/>
      <c r="D71" s="72"/>
    </row>
    <row r="72" spans="1:17" ht="15" x14ac:dyDescent="0.2">
      <c r="A72" s="10"/>
      <c r="B72" s="7" t="s">
        <v>2</v>
      </c>
      <c r="C72" s="8" t="s">
        <v>3</v>
      </c>
      <c r="D72" s="9" t="s">
        <v>4</v>
      </c>
    </row>
    <row r="73" spans="1:17" ht="15" x14ac:dyDescent="0.2">
      <c r="A73" s="21" t="s">
        <v>55</v>
      </c>
      <c r="B73" s="7">
        <v>5</v>
      </c>
      <c r="C73" s="8">
        <v>4</v>
      </c>
      <c r="D73" s="9">
        <v>0</v>
      </c>
    </row>
    <row r="74" spans="1:17" ht="15" x14ac:dyDescent="0.2">
      <c r="A74" s="10" t="s">
        <v>56</v>
      </c>
      <c r="B74" s="7">
        <v>5</v>
      </c>
      <c r="C74" s="8">
        <f>D74+B74-1</f>
        <v>9</v>
      </c>
      <c r="D74" s="9">
        <v>5</v>
      </c>
      <c r="E74" s="18"/>
    </row>
    <row r="75" spans="1:17" ht="15" x14ac:dyDescent="0.2">
      <c r="A75" s="10" t="s">
        <v>57</v>
      </c>
      <c r="B75" s="7">
        <v>10</v>
      </c>
      <c r="C75" s="8">
        <f>D75+B75-1</f>
        <v>19</v>
      </c>
      <c r="D75" s="9">
        <f>C74+1</f>
        <v>10</v>
      </c>
    </row>
    <row r="76" spans="1:17" ht="15" x14ac:dyDescent="0.2">
      <c r="A76" s="11" t="s">
        <v>58</v>
      </c>
      <c r="B76" s="12"/>
      <c r="C76" s="13"/>
      <c r="D76" s="14"/>
      <c r="K76" s="175"/>
      <c r="L76" s="175"/>
      <c r="M76" s="175"/>
      <c r="N76" s="175"/>
      <c r="O76" s="175"/>
      <c r="P76" s="175"/>
      <c r="Q76" s="175"/>
    </row>
    <row r="77" spans="1:17" ht="43.35" customHeight="1" x14ac:dyDescent="0.2">
      <c r="A77" s="10" t="s">
        <v>59</v>
      </c>
      <c r="B77" s="7">
        <v>4</v>
      </c>
      <c r="C77" s="8">
        <f t="shared" ref="C77:C88" si="5">D77+B77-1</f>
        <v>23</v>
      </c>
      <c r="D77" s="9">
        <f>C75+1</f>
        <v>20</v>
      </c>
      <c r="K77" s="175"/>
      <c r="L77" s="175"/>
      <c r="M77" s="175"/>
      <c r="N77" s="175"/>
      <c r="O77" s="175"/>
      <c r="P77" s="175"/>
      <c r="Q77" s="175"/>
    </row>
    <row r="78" spans="1:17" ht="15" x14ac:dyDescent="0.2">
      <c r="A78" s="10" t="s">
        <v>60</v>
      </c>
      <c r="B78" s="7">
        <v>4</v>
      </c>
      <c r="C78" s="8">
        <f t="shared" si="5"/>
        <v>27</v>
      </c>
      <c r="D78" s="9">
        <f>C77+1</f>
        <v>24</v>
      </c>
      <c r="K78" s="175"/>
      <c r="L78" s="175"/>
      <c r="M78" s="175"/>
      <c r="N78" s="175"/>
      <c r="O78" s="175"/>
      <c r="P78" s="175"/>
      <c r="Q78" s="175"/>
    </row>
    <row r="79" spans="1:17" ht="15" x14ac:dyDescent="0.2">
      <c r="A79" s="10" t="s">
        <v>61</v>
      </c>
      <c r="B79" s="7">
        <v>3</v>
      </c>
      <c r="C79" s="8">
        <f t="shared" si="5"/>
        <v>30</v>
      </c>
      <c r="D79" s="9">
        <f>C78+1</f>
        <v>28</v>
      </c>
    </row>
    <row r="80" spans="1:17" ht="15" x14ac:dyDescent="0.2">
      <c r="A80" s="11" t="s">
        <v>62</v>
      </c>
      <c r="B80" s="12"/>
      <c r="C80" s="13"/>
      <c r="D80" s="14"/>
    </row>
    <row r="81" spans="1:5" ht="15" x14ac:dyDescent="0.2">
      <c r="A81" s="11" t="s">
        <v>63</v>
      </c>
      <c r="B81" s="12"/>
      <c r="C81" s="13"/>
      <c r="D81" s="14"/>
    </row>
    <row r="82" spans="1:5" ht="15" x14ac:dyDescent="0.2">
      <c r="A82" s="11" t="s">
        <v>64</v>
      </c>
      <c r="B82" s="12"/>
      <c r="C82" s="13"/>
      <c r="D82" s="14"/>
    </row>
    <row r="83" spans="1:5" ht="15" x14ac:dyDescent="0.2">
      <c r="A83" s="11" t="s">
        <v>65</v>
      </c>
      <c r="B83" s="12"/>
      <c r="C83" s="13"/>
      <c r="D83" s="14"/>
    </row>
    <row r="84" spans="1:5" ht="15" x14ac:dyDescent="0.2">
      <c r="A84" s="11" t="s">
        <v>66</v>
      </c>
      <c r="B84" s="12"/>
      <c r="C84" s="13"/>
      <c r="D84" s="14"/>
    </row>
    <row r="85" spans="1:5" ht="15" x14ac:dyDescent="0.2">
      <c r="A85" s="30" t="s">
        <v>67</v>
      </c>
      <c r="B85" s="7">
        <v>64</v>
      </c>
      <c r="C85" s="8">
        <f t="shared" si="5"/>
        <v>94</v>
      </c>
      <c r="D85" s="9">
        <f>C79+1</f>
        <v>31</v>
      </c>
      <c r="E85" s="18"/>
    </row>
    <row r="86" spans="1:5" ht="15" x14ac:dyDescent="0.2">
      <c r="A86" s="10" t="s">
        <v>68</v>
      </c>
      <c r="B86" s="7">
        <v>512</v>
      </c>
      <c r="C86" s="8">
        <f t="shared" si="5"/>
        <v>606</v>
      </c>
      <c r="D86" s="9">
        <f>C85+1</f>
        <v>95</v>
      </c>
    </row>
    <row r="87" spans="1:5" ht="15" x14ac:dyDescent="0.2">
      <c r="A87" s="10" t="s">
        <v>69</v>
      </c>
      <c r="B87" s="7">
        <v>8</v>
      </c>
      <c r="C87" s="8">
        <f t="shared" si="5"/>
        <v>614</v>
      </c>
      <c r="D87" s="9">
        <f>C86+1</f>
        <v>607</v>
      </c>
    </row>
    <row r="88" spans="1:5" ht="15.75" thickBot="1" x14ac:dyDescent="0.25">
      <c r="A88" s="10" t="s">
        <v>70</v>
      </c>
      <c r="B88" s="25">
        <f>SUM(B73:B87)</f>
        <v>615</v>
      </c>
      <c r="C88" s="26">
        <f t="shared" si="5"/>
        <v>614</v>
      </c>
      <c r="D88" s="27">
        <v>0</v>
      </c>
    </row>
    <row r="91" spans="1:5" ht="15" thickBot="1" x14ac:dyDescent="0.25">
      <c r="A91" s="1" t="s">
        <v>71</v>
      </c>
    </row>
    <row r="92" spans="1:5" ht="20.25" x14ac:dyDescent="0.2">
      <c r="A92" s="28"/>
      <c r="B92" s="70" t="s">
        <v>33</v>
      </c>
      <c r="C92" s="71"/>
      <c r="D92" s="72"/>
    </row>
    <row r="93" spans="1:5" ht="15" x14ac:dyDescent="0.2">
      <c r="A93" s="10"/>
      <c r="B93" s="7" t="s">
        <v>2</v>
      </c>
      <c r="C93" s="8" t="s">
        <v>3</v>
      </c>
      <c r="D93" s="9" t="s">
        <v>4</v>
      </c>
    </row>
    <row r="94" spans="1:5" ht="15" x14ac:dyDescent="0.2">
      <c r="A94" s="10" t="s">
        <v>57</v>
      </c>
      <c r="B94" s="7">
        <v>10</v>
      </c>
      <c r="C94" s="8">
        <f>D94+B94-1</f>
        <v>9</v>
      </c>
      <c r="D94" s="9">
        <v>0</v>
      </c>
    </row>
    <row r="95" spans="1:5" ht="15" x14ac:dyDescent="0.2">
      <c r="A95" s="10" t="s">
        <v>58</v>
      </c>
      <c r="B95" s="7">
        <v>5</v>
      </c>
      <c r="C95" s="8">
        <f>D95+B95-1</f>
        <v>14</v>
      </c>
      <c r="D95" s="9">
        <f>C94+1</f>
        <v>10</v>
      </c>
    </row>
    <row r="96" spans="1:5" ht="15" x14ac:dyDescent="0.2">
      <c r="A96" s="10" t="s">
        <v>60</v>
      </c>
      <c r="B96" s="7">
        <v>4</v>
      </c>
      <c r="C96" s="8">
        <f t="shared" ref="C96:C111" si="6">D96+B96-1</f>
        <v>18</v>
      </c>
      <c r="D96" s="9">
        <f t="shared" ref="D96:D110" si="7">C95+1</f>
        <v>15</v>
      </c>
    </row>
    <row r="97" spans="1:18" ht="15" x14ac:dyDescent="0.2">
      <c r="A97" s="10" t="s">
        <v>72</v>
      </c>
      <c r="B97" s="7">
        <v>2</v>
      </c>
      <c r="C97" s="8">
        <f t="shared" si="6"/>
        <v>20</v>
      </c>
      <c r="D97" s="9">
        <f t="shared" si="7"/>
        <v>19</v>
      </c>
    </row>
    <row r="98" spans="1:18" ht="15" x14ac:dyDescent="0.2">
      <c r="A98" s="10" t="s">
        <v>61</v>
      </c>
      <c r="B98" s="7">
        <v>3</v>
      </c>
      <c r="C98" s="8">
        <f t="shared" si="6"/>
        <v>23</v>
      </c>
      <c r="D98" s="9">
        <f t="shared" si="7"/>
        <v>21</v>
      </c>
    </row>
    <row r="99" spans="1:18" ht="15" x14ac:dyDescent="0.2">
      <c r="A99" s="10" t="s">
        <v>73</v>
      </c>
      <c r="B99" s="7">
        <v>3</v>
      </c>
      <c r="C99" s="8">
        <f t="shared" si="6"/>
        <v>26</v>
      </c>
      <c r="D99" s="9">
        <f t="shared" si="7"/>
        <v>24</v>
      </c>
      <c r="E99" s="18"/>
    </row>
    <row r="100" spans="1:18" ht="15" x14ac:dyDescent="0.2">
      <c r="A100" s="10" t="s">
        <v>63</v>
      </c>
      <c r="B100" s="7">
        <v>10</v>
      </c>
      <c r="C100" s="8">
        <f t="shared" si="6"/>
        <v>36</v>
      </c>
      <c r="D100" s="9">
        <f t="shared" si="7"/>
        <v>27</v>
      </c>
      <c r="E100" s="18"/>
    </row>
    <row r="101" spans="1:18" ht="15" x14ac:dyDescent="0.2">
      <c r="A101" s="10" t="s">
        <v>64</v>
      </c>
      <c r="B101" s="7">
        <v>2</v>
      </c>
      <c r="C101" s="8">
        <f t="shared" si="6"/>
        <v>38</v>
      </c>
      <c r="D101" s="9">
        <f t="shared" si="7"/>
        <v>37</v>
      </c>
      <c r="K101" s="175"/>
      <c r="L101" s="175"/>
      <c r="M101" s="175"/>
      <c r="N101" s="175"/>
      <c r="O101" s="175"/>
      <c r="P101" s="175"/>
      <c r="Q101" s="175"/>
      <c r="R101" s="175"/>
    </row>
    <row r="102" spans="1:18" ht="15" x14ac:dyDescent="0.2">
      <c r="A102" s="11" t="s">
        <v>65</v>
      </c>
      <c r="B102" s="12">
        <v>0</v>
      </c>
      <c r="C102" s="13">
        <f t="shared" si="6"/>
        <v>38</v>
      </c>
      <c r="D102" s="14">
        <f t="shared" si="7"/>
        <v>39</v>
      </c>
      <c r="K102" s="175"/>
      <c r="L102" s="175"/>
      <c r="M102" s="175"/>
      <c r="N102" s="175"/>
      <c r="O102" s="175"/>
      <c r="P102" s="175"/>
      <c r="Q102" s="175"/>
      <c r="R102" s="175"/>
    </row>
    <row r="103" spans="1:18" ht="15" x14ac:dyDescent="0.2">
      <c r="A103" s="10" t="s">
        <v>74</v>
      </c>
      <c r="B103" s="7">
        <v>1</v>
      </c>
      <c r="C103" s="8">
        <f t="shared" si="6"/>
        <v>39</v>
      </c>
      <c r="D103" s="9">
        <f t="shared" si="7"/>
        <v>39</v>
      </c>
      <c r="K103" s="175"/>
      <c r="L103" s="175"/>
      <c r="M103" s="175"/>
      <c r="N103" s="175"/>
      <c r="O103" s="175"/>
      <c r="P103" s="175"/>
      <c r="Q103" s="175"/>
      <c r="R103" s="175"/>
    </row>
    <row r="104" spans="1:18" ht="15" x14ac:dyDescent="0.2">
      <c r="A104" s="10" t="s">
        <v>75</v>
      </c>
      <c r="B104" s="7">
        <v>1</v>
      </c>
      <c r="C104" s="8">
        <f t="shared" si="6"/>
        <v>40</v>
      </c>
      <c r="D104" s="9">
        <f>C103+B103</f>
        <v>40</v>
      </c>
      <c r="K104" s="175"/>
      <c r="L104" s="175"/>
      <c r="M104" s="175"/>
      <c r="N104" s="175"/>
      <c r="O104" s="175"/>
      <c r="P104" s="175"/>
      <c r="Q104" s="175"/>
      <c r="R104" s="175"/>
    </row>
    <row r="105" spans="1:18" ht="15" x14ac:dyDescent="0.2">
      <c r="A105" s="10" t="s">
        <v>76</v>
      </c>
      <c r="B105" s="7">
        <v>20</v>
      </c>
      <c r="C105" s="8">
        <f t="shared" si="6"/>
        <v>60</v>
      </c>
      <c r="D105" s="9">
        <f>C104+1</f>
        <v>41</v>
      </c>
      <c r="K105" s="175"/>
      <c r="L105" s="175"/>
      <c r="M105" s="175"/>
      <c r="N105" s="175"/>
      <c r="O105" s="175"/>
      <c r="P105" s="175"/>
      <c r="Q105" s="175"/>
      <c r="R105" s="175"/>
    </row>
    <row r="106" spans="1:18" ht="15" x14ac:dyDescent="0.2">
      <c r="A106" s="10" t="s">
        <v>68</v>
      </c>
      <c r="B106" s="7">
        <v>512</v>
      </c>
      <c r="C106" s="8">
        <f t="shared" si="6"/>
        <v>572</v>
      </c>
      <c r="D106" s="9">
        <f t="shared" si="7"/>
        <v>61</v>
      </c>
      <c r="K106" s="175"/>
      <c r="L106" s="175"/>
      <c r="M106" s="175"/>
      <c r="N106" s="175"/>
      <c r="O106" s="175"/>
      <c r="P106" s="175"/>
      <c r="Q106" s="175"/>
      <c r="R106" s="175"/>
    </row>
    <row r="107" spans="1:18" ht="15" x14ac:dyDescent="0.2">
      <c r="A107" s="10" t="s">
        <v>69</v>
      </c>
      <c r="B107" s="31">
        <v>8</v>
      </c>
      <c r="C107" s="8">
        <f t="shared" si="6"/>
        <v>580</v>
      </c>
      <c r="D107" s="32">
        <f t="shared" si="7"/>
        <v>573</v>
      </c>
      <c r="F107" s="18"/>
      <c r="K107" s="175"/>
      <c r="L107" s="175"/>
      <c r="M107" s="175"/>
      <c r="N107" s="175"/>
      <c r="O107" s="175"/>
      <c r="P107" s="175"/>
      <c r="Q107" s="175"/>
      <c r="R107" s="175"/>
    </row>
    <row r="108" spans="1:18" ht="15" x14ac:dyDescent="0.2">
      <c r="A108" s="10" t="s">
        <v>77</v>
      </c>
      <c r="B108" s="31">
        <v>1</v>
      </c>
      <c r="C108" s="8">
        <f t="shared" si="6"/>
        <v>581</v>
      </c>
      <c r="D108" s="32">
        <f t="shared" si="7"/>
        <v>581</v>
      </c>
    </row>
    <row r="109" spans="1:18" ht="15" x14ac:dyDescent="0.2">
      <c r="A109" s="33" t="s">
        <v>78</v>
      </c>
      <c r="B109" s="31">
        <v>1</v>
      </c>
      <c r="C109" s="8">
        <f t="shared" si="6"/>
        <v>582</v>
      </c>
      <c r="D109" s="32">
        <f t="shared" si="7"/>
        <v>582</v>
      </c>
      <c r="E109" s="18"/>
    </row>
    <row r="110" spans="1:18" ht="15" x14ac:dyDescent="0.2">
      <c r="A110" s="33" t="s">
        <v>79</v>
      </c>
      <c r="B110" s="31">
        <v>1</v>
      </c>
      <c r="C110" s="8">
        <f t="shared" si="6"/>
        <v>583</v>
      </c>
      <c r="D110" s="32">
        <f t="shared" si="7"/>
        <v>583</v>
      </c>
    </row>
    <row r="111" spans="1:18" ht="15.75" thickBot="1" x14ac:dyDescent="0.25">
      <c r="A111" s="10" t="s">
        <v>70</v>
      </c>
      <c r="B111" s="25">
        <f>SUM(B94:B110)</f>
        <v>584</v>
      </c>
      <c r="C111" s="26">
        <f t="shared" si="6"/>
        <v>583</v>
      </c>
      <c r="D111" s="27">
        <v>0</v>
      </c>
    </row>
    <row r="114" spans="1:4" ht="15" thickBot="1" x14ac:dyDescent="0.25">
      <c r="A114" s="1" t="s">
        <v>80</v>
      </c>
    </row>
    <row r="115" spans="1:4" ht="20.25" x14ac:dyDescent="0.2">
      <c r="A115" s="28"/>
      <c r="B115" s="70" t="s">
        <v>33</v>
      </c>
      <c r="C115" s="71"/>
      <c r="D115" s="72"/>
    </row>
    <row r="116" spans="1:4" ht="15" x14ac:dyDescent="0.2">
      <c r="A116" s="10"/>
      <c r="B116" s="7" t="s">
        <v>2</v>
      </c>
      <c r="C116" s="8" t="s">
        <v>3</v>
      </c>
      <c r="D116" s="9" t="s">
        <v>4</v>
      </c>
    </row>
    <row r="117" spans="1:4" ht="155.25" customHeight="1" x14ac:dyDescent="0.2">
      <c r="A117" s="10" t="s">
        <v>81</v>
      </c>
      <c r="B117" s="7">
        <v>10</v>
      </c>
      <c r="C117" s="8">
        <f>D117+B117-1</f>
        <v>9</v>
      </c>
      <c r="D117" s="9">
        <v>0</v>
      </c>
    </row>
    <row r="118" spans="1:4" ht="306.75" customHeight="1" x14ac:dyDescent="0.2">
      <c r="A118" s="33" t="s">
        <v>82</v>
      </c>
      <c r="B118" s="7">
        <v>1</v>
      </c>
      <c r="C118" s="8">
        <f>D118+B118-1</f>
        <v>10</v>
      </c>
      <c r="D118" s="9">
        <f>C117+1</f>
        <v>10</v>
      </c>
    </row>
    <row r="119" spans="1:4" ht="15" x14ac:dyDescent="0.2">
      <c r="A119" s="33" t="s">
        <v>83</v>
      </c>
      <c r="B119" s="7">
        <v>1</v>
      </c>
      <c r="C119" s="8">
        <f t="shared" ref="C119:C125" si="8">D119+B119-1</f>
        <v>11</v>
      </c>
      <c r="D119" s="9">
        <f t="shared" ref="D119:D120" si="9">C118+1</f>
        <v>11</v>
      </c>
    </row>
    <row r="120" spans="1:4" ht="350.25" customHeight="1" x14ac:dyDescent="0.2">
      <c r="A120" s="10" t="s">
        <v>84</v>
      </c>
      <c r="B120" s="7">
        <v>1</v>
      </c>
      <c r="C120" s="8">
        <f t="shared" si="8"/>
        <v>12</v>
      </c>
      <c r="D120" s="9">
        <f t="shared" si="9"/>
        <v>12</v>
      </c>
    </row>
    <row r="121" spans="1:4" ht="195" customHeight="1" x14ac:dyDescent="0.2">
      <c r="A121" s="10" t="s">
        <v>85</v>
      </c>
      <c r="B121" s="22">
        <v>2</v>
      </c>
      <c r="C121" s="23">
        <v>14</v>
      </c>
      <c r="D121" s="24">
        <v>13</v>
      </c>
    </row>
    <row r="122" spans="1:4" ht="111" customHeight="1" x14ac:dyDescent="0.2">
      <c r="A122" s="10" t="s">
        <v>86</v>
      </c>
      <c r="B122" s="22">
        <v>2</v>
      </c>
      <c r="C122" s="23">
        <v>16</v>
      </c>
      <c r="D122" s="24">
        <v>15</v>
      </c>
    </row>
    <row r="123" spans="1:4" ht="221.25" customHeight="1" x14ac:dyDescent="0.2">
      <c r="A123" s="10" t="s">
        <v>87</v>
      </c>
      <c r="B123" s="22">
        <v>1</v>
      </c>
      <c r="C123" s="23">
        <v>17</v>
      </c>
      <c r="D123" s="24">
        <v>17</v>
      </c>
    </row>
    <row r="124" spans="1:4" ht="15" x14ac:dyDescent="0.2">
      <c r="A124" s="10"/>
      <c r="B124" s="22"/>
      <c r="C124" s="23"/>
      <c r="D124" s="24"/>
    </row>
    <row r="125" spans="1:4" ht="15.75" thickBot="1" x14ac:dyDescent="0.25">
      <c r="A125" s="10" t="s">
        <v>88</v>
      </c>
      <c r="B125" s="25">
        <f>SUM(B117:B123)</f>
        <v>18</v>
      </c>
      <c r="C125" s="26">
        <f t="shared" si="8"/>
        <v>17</v>
      </c>
      <c r="D125" s="27">
        <v>0</v>
      </c>
    </row>
    <row r="126" spans="1:4" ht="15" x14ac:dyDescent="0.2">
      <c r="A126" s="34"/>
      <c r="B126" s="35"/>
      <c r="C126" s="35"/>
      <c r="D126" s="35"/>
    </row>
    <row r="128" spans="1:4" ht="15" thickBot="1" x14ac:dyDescent="0.25">
      <c r="A128" s="1" t="s">
        <v>89</v>
      </c>
    </row>
    <row r="129" spans="1:18" ht="20.25" x14ac:dyDescent="0.2">
      <c r="A129" s="28"/>
      <c r="B129" s="70" t="s">
        <v>33</v>
      </c>
      <c r="C129" s="71"/>
      <c r="D129" s="72"/>
    </row>
    <row r="130" spans="1:18" ht="15" x14ac:dyDescent="0.2">
      <c r="A130" s="10"/>
      <c r="B130" s="7" t="s">
        <v>2</v>
      </c>
      <c r="C130" s="8" t="s">
        <v>3</v>
      </c>
      <c r="D130" s="9" t="s">
        <v>4</v>
      </c>
    </row>
    <row r="131" spans="1:18" ht="15" x14ac:dyDescent="0.2">
      <c r="A131" s="10" t="s">
        <v>90</v>
      </c>
      <c r="B131" s="7">
        <v>1</v>
      </c>
      <c r="C131" s="8">
        <f>D131+B131-1</f>
        <v>0</v>
      </c>
      <c r="D131" s="9">
        <v>0</v>
      </c>
    </row>
    <row r="132" spans="1:18" ht="15.75" thickBot="1" x14ac:dyDescent="0.25">
      <c r="A132" s="10" t="s">
        <v>91</v>
      </c>
      <c r="B132" s="25">
        <f>SUM(B131:B131)</f>
        <v>1</v>
      </c>
      <c r="C132" s="26">
        <f t="shared" ref="C132" si="10">D132+B132-1</f>
        <v>1</v>
      </c>
      <c r="D132" s="27">
        <v>1</v>
      </c>
    </row>
    <row r="133" spans="1:18" x14ac:dyDescent="0.2">
      <c r="A133" s="4"/>
      <c r="B133" s="4"/>
      <c r="C133" s="4"/>
      <c r="D133" s="4"/>
    </row>
    <row r="134" spans="1:18" ht="15" thickBot="1" x14ac:dyDescent="0.25">
      <c r="A134" s="1" t="s">
        <v>92</v>
      </c>
    </row>
    <row r="135" spans="1:18" ht="20.25" x14ac:dyDescent="0.2">
      <c r="A135" s="28"/>
      <c r="B135" s="70" t="s">
        <v>33</v>
      </c>
      <c r="C135" s="71"/>
      <c r="D135" s="72"/>
    </row>
    <row r="136" spans="1:18" ht="15" x14ac:dyDescent="0.2">
      <c r="A136" s="10"/>
      <c r="B136" s="7" t="s">
        <v>2</v>
      </c>
      <c r="C136" s="8" t="s">
        <v>3</v>
      </c>
      <c r="D136" s="9" t="s">
        <v>4</v>
      </c>
    </row>
    <row r="137" spans="1:18" ht="15" x14ac:dyDescent="0.2">
      <c r="A137" s="33" t="s">
        <v>93</v>
      </c>
      <c r="B137" s="7">
        <v>3</v>
      </c>
      <c r="C137" s="8">
        <f>D137+B137-1</f>
        <v>2</v>
      </c>
      <c r="D137" s="9">
        <v>0</v>
      </c>
    </row>
    <row r="138" spans="1:18" ht="15.75" thickBot="1" x14ac:dyDescent="0.25">
      <c r="A138" s="10" t="s">
        <v>94</v>
      </c>
      <c r="B138" s="25">
        <f>SUM(B137:B137)</f>
        <v>3</v>
      </c>
      <c r="C138" s="26">
        <f t="shared" ref="C138" si="11">D138+B138-1</f>
        <v>2</v>
      </c>
      <c r="D138" s="27">
        <v>0</v>
      </c>
    </row>
    <row r="139" spans="1:18" ht="15" x14ac:dyDescent="0.2">
      <c r="A139" s="34"/>
      <c r="B139" s="35"/>
      <c r="C139" s="35"/>
      <c r="D139" s="35"/>
    </row>
    <row r="141" spans="1:18" ht="15" thickBot="1" x14ac:dyDescent="0.25">
      <c r="A141" s="1" t="s">
        <v>95</v>
      </c>
      <c r="K141" s="175"/>
      <c r="L141" s="175"/>
      <c r="M141" s="175"/>
      <c r="N141" s="175"/>
      <c r="O141" s="175"/>
      <c r="P141" s="175"/>
      <c r="Q141" s="175"/>
      <c r="R141" s="175"/>
    </row>
    <row r="142" spans="1:18" ht="20.25" x14ac:dyDescent="0.2">
      <c r="A142" s="28"/>
      <c r="B142" s="73" t="s">
        <v>33</v>
      </c>
      <c r="C142" s="74"/>
      <c r="D142" s="75"/>
      <c r="K142" s="175"/>
      <c r="L142" s="175"/>
      <c r="M142" s="175"/>
      <c r="N142" s="175"/>
      <c r="O142" s="175"/>
      <c r="P142" s="175"/>
      <c r="Q142" s="175"/>
      <c r="R142" s="175"/>
    </row>
    <row r="143" spans="1:18" ht="15" x14ac:dyDescent="0.2">
      <c r="A143" s="10"/>
      <c r="B143" s="7" t="s">
        <v>2</v>
      </c>
      <c r="C143" s="8" t="s">
        <v>3</v>
      </c>
      <c r="D143" s="9" t="s">
        <v>4</v>
      </c>
      <c r="K143" s="175"/>
      <c r="L143" s="175"/>
      <c r="M143" s="175"/>
      <c r="N143" s="175"/>
      <c r="O143" s="175"/>
      <c r="P143" s="175"/>
      <c r="Q143" s="175"/>
      <c r="R143" s="175"/>
    </row>
    <row r="144" spans="1:18" ht="15" x14ac:dyDescent="0.2">
      <c r="A144" s="10" t="s">
        <v>96</v>
      </c>
      <c r="B144" s="7">
        <v>5</v>
      </c>
      <c r="C144" s="8">
        <f>D144+B144-1</f>
        <v>4</v>
      </c>
      <c r="D144" s="9">
        <v>0</v>
      </c>
      <c r="K144" s="175"/>
      <c r="L144" s="175"/>
      <c r="M144" s="175"/>
      <c r="N144" s="175"/>
      <c r="O144" s="175"/>
      <c r="P144" s="175"/>
      <c r="Q144" s="175"/>
      <c r="R144" s="175"/>
    </row>
    <row r="145" spans="1:18" ht="15" x14ac:dyDescent="0.2">
      <c r="A145" s="10" t="s">
        <v>97</v>
      </c>
      <c r="B145" s="7">
        <v>10</v>
      </c>
      <c r="C145" s="8">
        <f>D145+B145-1</f>
        <v>14</v>
      </c>
      <c r="D145" s="9">
        <f>C144+1</f>
        <v>5</v>
      </c>
      <c r="K145" s="175"/>
      <c r="L145" s="175"/>
      <c r="M145" s="175"/>
      <c r="N145" s="175"/>
      <c r="O145" s="175"/>
      <c r="P145" s="175"/>
      <c r="Q145" s="175"/>
      <c r="R145" s="175"/>
    </row>
    <row r="146" spans="1:18" ht="15" x14ac:dyDescent="0.2">
      <c r="A146" s="10" t="s">
        <v>98</v>
      </c>
      <c r="B146" s="7">
        <v>5</v>
      </c>
      <c r="C146" s="8">
        <f t="shared" ref="C146:C158" si="12">D146+B146-1</f>
        <v>19</v>
      </c>
      <c r="D146" s="9">
        <f t="shared" ref="D146:D155" si="13">C145+1</f>
        <v>15</v>
      </c>
      <c r="K146" s="175"/>
      <c r="L146" s="175"/>
      <c r="M146" s="175"/>
      <c r="N146" s="175"/>
      <c r="O146" s="175"/>
      <c r="P146" s="175"/>
      <c r="Q146" s="175"/>
      <c r="R146" s="175"/>
    </row>
    <row r="147" spans="1:18" ht="15" x14ac:dyDescent="0.2">
      <c r="A147" s="10" t="s">
        <v>99</v>
      </c>
      <c r="B147" s="7">
        <v>10</v>
      </c>
      <c r="C147" s="8">
        <f t="shared" si="12"/>
        <v>29</v>
      </c>
      <c r="D147" s="9">
        <f t="shared" si="13"/>
        <v>20</v>
      </c>
      <c r="K147" s="175"/>
      <c r="L147" s="175"/>
      <c r="M147" s="175"/>
      <c r="N147" s="175"/>
      <c r="O147" s="175"/>
      <c r="P147" s="175"/>
      <c r="Q147" s="175"/>
      <c r="R147" s="175"/>
    </row>
    <row r="148" spans="1:18" ht="15" x14ac:dyDescent="0.2">
      <c r="A148" s="10" t="s">
        <v>100</v>
      </c>
      <c r="B148" s="7">
        <v>5</v>
      </c>
      <c r="C148" s="8">
        <f t="shared" si="12"/>
        <v>34</v>
      </c>
      <c r="D148" s="9">
        <f t="shared" si="13"/>
        <v>30</v>
      </c>
      <c r="K148" s="175"/>
      <c r="L148" s="175"/>
      <c r="M148" s="175"/>
      <c r="N148" s="175"/>
      <c r="O148" s="175"/>
      <c r="P148" s="175"/>
      <c r="Q148" s="175"/>
      <c r="R148" s="175"/>
    </row>
    <row r="149" spans="1:18" ht="15" x14ac:dyDescent="0.2">
      <c r="A149" s="10" t="s">
        <v>101</v>
      </c>
      <c r="B149" s="7">
        <v>33</v>
      </c>
      <c r="C149" s="8">
        <f t="shared" si="12"/>
        <v>67</v>
      </c>
      <c r="D149" s="9">
        <f t="shared" si="13"/>
        <v>35</v>
      </c>
      <c r="K149" s="175"/>
      <c r="L149" s="175"/>
      <c r="M149" s="175"/>
      <c r="N149" s="175"/>
      <c r="O149" s="175"/>
      <c r="P149" s="175"/>
      <c r="Q149" s="175"/>
      <c r="R149" s="175"/>
    </row>
    <row r="150" spans="1:18" ht="15" x14ac:dyDescent="0.2">
      <c r="A150" s="10" t="s">
        <v>102</v>
      </c>
      <c r="B150" s="7">
        <v>1</v>
      </c>
      <c r="C150" s="8">
        <f t="shared" si="12"/>
        <v>68</v>
      </c>
      <c r="D150" s="9">
        <f t="shared" si="13"/>
        <v>68</v>
      </c>
      <c r="K150" s="175"/>
      <c r="L150" s="175"/>
      <c r="M150" s="175"/>
      <c r="N150" s="175"/>
      <c r="O150" s="175"/>
      <c r="P150" s="175"/>
      <c r="Q150" s="175"/>
      <c r="R150" s="175"/>
    </row>
    <row r="151" spans="1:18" ht="15" x14ac:dyDescent="0.2">
      <c r="A151" s="11" t="s">
        <v>103</v>
      </c>
      <c r="B151" s="11"/>
      <c r="C151" s="11"/>
      <c r="D151" s="11"/>
      <c r="K151" s="175"/>
      <c r="L151" s="175"/>
      <c r="M151" s="175"/>
      <c r="N151" s="175"/>
      <c r="O151" s="175"/>
      <c r="P151" s="175"/>
      <c r="Q151" s="175"/>
      <c r="R151" s="175"/>
    </row>
    <row r="152" spans="1:18" ht="15" x14ac:dyDescent="0.2">
      <c r="A152" s="11" t="s">
        <v>104</v>
      </c>
      <c r="B152" s="12"/>
      <c r="C152" s="13"/>
      <c r="D152" s="14"/>
      <c r="K152" s="175"/>
      <c r="L152" s="175"/>
      <c r="M152" s="175"/>
      <c r="N152" s="175"/>
      <c r="O152" s="175"/>
      <c r="P152" s="175"/>
      <c r="Q152" s="175"/>
      <c r="R152" s="175"/>
    </row>
    <row r="153" spans="1:18" ht="15" x14ac:dyDescent="0.2">
      <c r="A153" s="11" t="s">
        <v>105</v>
      </c>
      <c r="B153" s="12"/>
      <c r="C153" s="13"/>
      <c r="D153" s="14"/>
      <c r="K153" s="175"/>
      <c r="L153" s="175"/>
      <c r="M153" s="175"/>
      <c r="N153" s="175"/>
      <c r="O153" s="175"/>
      <c r="P153" s="175"/>
      <c r="Q153" s="175"/>
      <c r="R153" s="175"/>
    </row>
    <row r="154" spans="1:18" ht="15" x14ac:dyDescent="0.2">
      <c r="A154" s="10" t="s">
        <v>106</v>
      </c>
      <c r="B154" s="7">
        <v>1</v>
      </c>
      <c r="C154" s="8">
        <f t="shared" si="12"/>
        <v>69</v>
      </c>
      <c r="D154" s="9">
        <f>C150+1</f>
        <v>69</v>
      </c>
    </row>
    <row r="155" spans="1:18" ht="15" x14ac:dyDescent="0.2">
      <c r="A155" s="10" t="s">
        <v>107</v>
      </c>
      <c r="B155" s="7">
        <v>10</v>
      </c>
      <c r="C155" s="8">
        <f t="shared" si="12"/>
        <v>79</v>
      </c>
      <c r="D155" s="9">
        <f t="shared" si="13"/>
        <v>70</v>
      </c>
    </row>
    <row r="156" spans="1:18" ht="15" x14ac:dyDescent="0.2">
      <c r="A156" s="10" t="s">
        <v>108</v>
      </c>
      <c r="B156" s="22">
        <v>1</v>
      </c>
      <c r="C156" s="8">
        <f t="shared" si="12"/>
        <v>80</v>
      </c>
      <c r="D156" s="9">
        <f>C155+1</f>
        <v>80</v>
      </c>
    </row>
    <row r="157" spans="1:18" ht="15" x14ac:dyDescent="0.2">
      <c r="A157" s="10" t="s">
        <v>109</v>
      </c>
      <c r="B157" s="22">
        <v>1</v>
      </c>
      <c r="C157" s="8">
        <f t="shared" si="12"/>
        <v>81</v>
      </c>
      <c r="D157" s="9">
        <f>C156+1</f>
        <v>81</v>
      </c>
    </row>
    <row r="158" spans="1:18" ht="16.5" thickBot="1" x14ac:dyDescent="0.25">
      <c r="A158" s="10" t="s">
        <v>110</v>
      </c>
      <c r="B158" s="25">
        <f>SUM(B144:B157)</f>
        <v>82</v>
      </c>
      <c r="C158" s="26">
        <f t="shared" si="12"/>
        <v>81</v>
      </c>
      <c r="D158" s="27">
        <v>0</v>
      </c>
      <c r="E158" s="65" t="s">
        <v>111</v>
      </c>
      <c r="F158" s="67" t="s">
        <v>112</v>
      </c>
      <c r="G158" s="68"/>
      <c r="H158" s="65" t="s">
        <v>113</v>
      </c>
      <c r="I158" s="67" t="s">
        <v>114</v>
      </c>
      <c r="J158" s="69"/>
      <c r="K158" s="68"/>
    </row>
    <row r="159" spans="1:18" ht="31.5" x14ac:dyDescent="0.2">
      <c r="E159" s="66"/>
      <c r="F159" s="36" t="s">
        <v>115</v>
      </c>
      <c r="G159" s="36" t="s">
        <v>116</v>
      </c>
      <c r="H159" s="66"/>
      <c r="I159" s="36" t="s">
        <v>117</v>
      </c>
      <c r="J159" s="36" t="s">
        <v>118</v>
      </c>
      <c r="K159" s="36" t="s">
        <v>119</v>
      </c>
    </row>
    <row r="160" spans="1:18" ht="58.5" customHeight="1" x14ac:dyDescent="0.2">
      <c r="E160" s="38">
        <v>0</v>
      </c>
      <c r="F160" s="38">
        <v>0</v>
      </c>
      <c r="G160" s="38">
        <v>0</v>
      </c>
      <c r="H160" s="38">
        <v>0</v>
      </c>
      <c r="I160" s="38">
        <v>1</v>
      </c>
      <c r="J160" s="38">
        <v>1</v>
      </c>
      <c r="K160" s="38">
        <v>1</v>
      </c>
      <c r="L160" s="175"/>
      <c r="M160" s="175"/>
      <c r="N160" s="175"/>
      <c r="O160" s="175"/>
      <c r="P160" s="175"/>
      <c r="Q160" s="175"/>
    </row>
    <row r="161" spans="1:11" ht="15.75" x14ac:dyDescent="0.2">
      <c r="A161" s="18" t="s">
        <v>120</v>
      </c>
      <c r="E161" s="39" t="s">
        <v>121</v>
      </c>
      <c r="F161" s="38" t="s">
        <v>122</v>
      </c>
      <c r="G161" s="39" t="s">
        <v>121</v>
      </c>
      <c r="H161" s="59" t="s">
        <v>123</v>
      </c>
      <c r="I161" s="39" t="s">
        <v>121</v>
      </c>
      <c r="J161" s="39" t="s">
        <v>121</v>
      </c>
      <c r="K161" s="39" t="s">
        <v>121</v>
      </c>
    </row>
    <row r="162" spans="1:11" ht="87" customHeight="1" x14ac:dyDescent="0.2">
      <c r="A162" s="40"/>
      <c r="B162" s="64" t="s">
        <v>124</v>
      </c>
      <c r="C162" s="64"/>
      <c r="D162" s="64"/>
      <c r="E162" s="39" t="s">
        <v>121</v>
      </c>
      <c r="F162" s="38" t="s">
        <v>125</v>
      </c>
      <c r="G162" s="39" t="s">
        <v>121</v>
      </c>
      <c r="H162" s="61"/>
      <c r="I162" s="39" t="s">
        <v>121</v>
      </c>
      <c r="J162" s="39" t="s">
        <v>121</v>
      </c>
      <c r="K162" s="39" t="s">
        <v>121</v>
      </c>
    </row>
    <row r="163" spans="1:11" ht="72" customHeight="1" x14ac:dyDescent="0.2">
      <c r="A163" s="21"/>
      <c r="B163" s="8" t="s">
        <v>2</v>
      </c>
      <c r="C163" s="8" t="s">
        <v>126</v>
      </c>
      <c r="D163" s="8"/>
      <c r="E163" s="39" t="s">
        <v>121</v>
      </c>
      <c r="F163" s="38" t="s">
        <v>127</v>
      </c>
      <c r="G163" s="39" t="s">
        <v>121</v>
      </c>
      <c r="H163" s="61"/>
      <c r="I163" s="39" t="s">
        <v>121</v>
      </c>
      <c r="J163" s="39" t="s">
        <v>121</v>
      </c>
      <c r="K163" s="39" t="s">
        <v>121</v>
      </c>
    </row>
    <row r="164" spans="1:11" ht="15.75" x14ac:dyDescent="0.2">
      <c r="A164" s="21" t="s">
        <v>128</v>
      </c>
      <c r="B164" s="8">
        <v>1</v>
      </c>
      <c r="C164" s="8">
        <f>D164+B164-1</f>
        <v>0</v>
      </c>
      <c r="D164" s="8">
        <v>0</v>
      </c>
      <c r="E164" s="39" t="s">
        <v>121</v>
      </c>
      <c r="F164" s="39" t="s">
        <v>121</v>
      </c>
      <c r="G164" s="39" t="s">
        <v>121</v>
      </c>
      <c r="H164" s="61"/>
      <c r="I164" s="39" t="s">
        <v>121</v>
      </c>
      <c r="J164" s="39" t="s">
        <v>121</v>
      </c>
      <c r="K164" s="39" t="s">
        <v>121</v>
      </c>
    </row>
    <row r="165" spans="1:11" ht="15.75" x14ac:dyDescent="0.2">
      <c r="A165" s="21" t="s">
        <v>129</v>
      </c>
      <c r="B165" s="8">
        <v>1</v>
      </c>
      <c r="C165" s="8">
        <f>D165+B165-1</f>
        <v>1</v>
      </c>
      <c r="D165" s="8">
        <f>C164+1</f>
        <v>1</v>
      </c>
      <c r="E165" s="39" t="s">
        <v>121</v>
      </c>
      <c r="F165" s="39" t="s">
        <v>121</v>
      </c>
      <c r="G165" s="39" t="s">
        <v>121</v>
      </c>
      <c r="H165" s="61"/>
      <c r="I165" s="39" t="s">
        <v>121</v>
      </c>
      <c r="J165" s="39" t="s">
        <v>121</v>
      </c>
      <c r="K165" s="39" t="s">
        <v>121</v>
      </c>
    </row>
    <row r="166" spans="1:11" ht="15.75" x14ac:dyDescent="0.2">
      <c r="A166" s="21" t="s">
        <v>130</v>
      </c>
      <c r="B166" s="8">
        <v>2</v>
      </c>
      <c r="C166" s="8">
        <f>D166+B166-1</f>
        <v>3</v>
      </c>
      <c r="D166" s="8">
        <f>C165+1</f>
        <v>2</v>
      </c>
      <c r="E166" s="39" t="s">
        <v>121</v>
      </c>
      <c r="F166" s="39" t="s">
        <v>121</v>
      </c>
      <c r="G166" s="39" t="s">
        <v>121</v>
      </c>
      <c r="H166" s="61"/>
      <c r="I166" s="39" t="s">
        <v>121</v>
      </c>
      <c r="J166" s="39" t="s">
        <v>121</v>
      </c>
      <c r="K166" s="39" t="s">
        <v>121</v>
      </c>
    </row>
    <row r="167" spans="1:11" ht="15.75" x14ac:dyDescent="0.2">
      <c r="A167" s="21" t="s">
        <v>131</v>
      </c>
      <c r="B167" s="8"/>
      <c r="C167" s="8"/>
      <c r="D167" s="8"/>
      <c r="E167" s="39" t="s">
        <v>121</v>
      </c>
      <c r="F167" s="39" t="s">
        <v>121</v>
      </c>
      <c r="G167" s="39" t="s">
        <v>121</v>
      </c>
      <c r="H167" s="61"/>
      <c r="I167" s="59" t="s">
        <v>132</v>
      </c>
      <c r="J167" s="59" t="s">
        <v>132</v>
      </c>
      <c r="K167" s="59" t="s">
        <v>132</v>
      </c>
    </row>
    <row r="168" spans="1:11" ht="15.75" x14ac:dyDescent="0.2">
      <c r="A168" s="21" t="s">
        <v>133</v>
      </c>
      <c r="B168" s="8"/>
      <c r="C168" s="8"/>
      <c r="D168" s="8"/>
      <c r="E168" s="39" t="s">
        <v>121</v>
      </c>
      <c r="F168" s="39" t="s">
        <v>121</v>
      </c>
      <c r="G168" s="39" t="s">
        <v>121</v>
      </c>
      <c r="H168" s="61"/>
      <c r="I168" s="60"/>
      <c r="J168" s="60"/>
      <c r="K168" s="60"/>
    </row>
    <row r="169" spans="1:11" ht="14.25" customHeight="1" x14ac:dyDescent="0.2">
      <c r="A169" s="21" t="s">
        <v>134</v>
      </c>
      <c r="B169" s="8"/>
      <c r="C169" s="8"/>
      <c r="D169" s="8"/>
      <c r="E169" s="39" t="s">
        <v>121</v>
      </c>
      <c r="F169" s="39" t="s">
        <v>121</v>
      </c>
      <c r="G169" s="39" t="s">
        <v>121</v>
      </c>
      <c r="H169" s="61"/>
      <c r="I169" s="38">
        <v>0</v>
      </c>
      <c r="J169" s="38">
        <v>1</v>
      </c>
      <c r="K169" s="38">
        <v>1</v>
      </c>
    </row>
    <row r="170" spans="1:11" ht="15.75" x14ac:dyDescent="0.2">
      <c r="A170" s="21" t="s">
        <v>135</v>
      </c>
      <c r="B170" s="8"/>
      <c r="C170" s="8"/>
      <c r="D170" s="8"/>
      <c r="E170" s="39" t="s">
        <v>121</v>
      </c>
      <c r="F170" s="39" t="s">
        <v>121</v>
      </c>
      <c r="G170" s="39" t="s">
        <v>121</v>
      </c>
      <c r="H170" s="60"/>
      <c r="I170" s="59" t="s">
        <v>136</v>
      </c>
      <c r="J170" s="59" t="s">
        <v>136</v>
      </c>
      <c r="K170" s="59" t="s">
        <v>136</v>
      </c>
    </row>
    <row r="171" spans="1:11" ht="15.75" x14ac:dyDescent="0.2">
      <c r="A171" s="21" t="s">
        <v>137</v>
      </c>
      <c r="B171" s="8"/>
      <c r="C171" s="8"/>
      <c r="D171" s="8"/>
      <c r="E171" s="39" t="s">
        <v>121</v>
      </c>
      <c r="F171" s="39" t="s">
        <v>121</v>
      </c>
      <c r="G171" s="39" t="s">
        <v>121</v>
      </c>
      <c r="H171" s="39" t="s">
        <v>121</v>
      </c>
      <c r="I171" s="61"/>
      <c r="J171" s="61"/>
      <c r="K171" s="61"/>
    </row>
    <row r="172" spans="1:11" ht="14.25" customHeight="1" x14ac:dyDescent="0.2">
      <c r="A172" s="21" t="s">
        <v>138</v>
      </c>
      <c r="B172" s="8"/>
      <c r="C172" s="8"/>
      <c r="D172" s="8"/>
      <c r="E172" s="59" t="s">
        <v>139</v>
      </c>
      <c r="F172" s="59" t="s">
        <v>140</v>
      </c>
      <c r="G172" s="59" t="s">
        <v>141</v>
      </c>
      <c r="H172" s="59" t="s">
        <v>142</v>
      </c>
      <c r="I172" s="60"/>
      <c r="J172" s="60"/>
      <c r="K172" s="60"/>
    </row>
    <row r="173" spans="1:11" ht="69" customHeight="1" x14ac:dyDescent="0.2">
      <c r="A173" s="21" t="s">
        <v>143</v>
      </c>
      <c r="B173" s="8">
        <f>SUM(B164:B166)</f>
        <v>4</v>
      </c>
      <c r="C173" s="8">
        <f>C166</f>
        <v>3</v>
      </c>
      <c r="D173" s="8">
        <f>D164</f>
        <v>0</v>
      </c>
      <c r="E173" s="60"/>
      <c r="F173" s="60"/>
      <c r="G173" s="60"/>
      <c r="H173" s="60"/>
      <c r="I173" s="59" t="s">
        <v>144</v>
      </c>
      <c r="J173" s="59" t="s">
        <v>144</v>
      </c>
      <c r="K173" s="59" t="s">
        <v>144</v>
      </c>
    </row>
    <row r="174" spans="1:11" ht="14.25" customHeight="1" x14ac:dyDescent="0.2">
      <c r="E174" s="59" t="s">
        <v>145</v>
      </c>
      <c r="F174" s="59" t="s">
        <v>145</v>
      </c>
      <c r="G174" s="59" t="s">
        <v>145</v>
      </c>
      <c r="H174" s="39" t="s">
        <v>121</v>
      </c>
      <c r="I174" s="60"/>
      <c r="J174" s="60"/>
      <c r="K174" s="60"/>
    </row>
    <row r="175" spans="1:11" ht="72.75" customHeight="1" x14ac:dyDescent="0.2">
      <c r="E175" s="60"/>
      <c r="F175" s="60"/>
      <c r="G175" s="60"/>
      <c r="H175" s="39" t="s">
        <v>121</v>
      </c>
      <c r="I175" s="59" t="s">
        <v>146</v>
      </c>
      <c r="J175" s="59" t="s">
        <v>147</v>
      </c>
      <c r="K175" s="59" t="s">
        <v>146</v>
      </c>
    </row>
    <row r="176" spans="1:11" ht="70.5" customHeight="1" x14ac:dyDescent="0.2">
      <c r="E176" s="38" t="s">
        <v>148</v>
      </c>
      <c r="F176" s="38" t="s">
        <v>148</v>
      </c>
      <c r="G176" s="38" t="s">
        <v>148</v>
      </c>
      <c r="H176" s="37" t="s">
        <v>148</v>
      </c>
      <c r="I176" s="60"/>
      <c r="J176" s="61"/>
      <c r="K176" s="60"/>
    </row>
    <row r="177" spans="5:11" ht="15" customHeight="1" x14ac:dyDescent="0.2">
      <c r="E177" s="59" t="s">
        <v>132</v>
      </c>
      <c r="F177" s="59" t="s">
        <v>132</v>
      </c>
      <c r="G177" s="59" t="s">
        <v>132</v>
      </c>
      <c r="H177" s="62" t="s">
        <v>132</v>
      </c>
      <c r="I177" s="59" t="s">
        <v>149</v>
      </c>
      <c r="J177" s="60"/>
      <c r="K177" s="38">
        <v>0</v>
      </c>
    </row>
    <row r="178" spans="5:11" ht="31.5" x14ac:dyDescent="0.2">
      <c r="E178" s="60"/>
      <c r="F178" s="60"/>
      <c r="G178" s="60"/>
      <c r="H178" s="63"/>
      <c r="I178" s="60"/>
      <c r="J178" s="38" t="s">
        <v>150</v>
      </c>
      <c r="K178" s="38" t="s">
        <v>151</v>
      </c>
    </row>
  </sheetData>
  <mergeCells count="40">
    <mergeCell ref="B2:D2"/>
    <mergeCell ref="B33:D33"/>
    <mergeCell ref="B37:D37"/>
    <mergeCell ref="B52:D52"/>
    <mergeCell ref="B71:D71"/>
    <mergeCell ref="B92:D92"/>
    <mergeCell ref="B115:D115"/>
    <mergeCell ref="B129:D129"/>
    <mergeCell ref="B135:D135"/>
    <mergeCell ref="B142:D142"/>
    <mergeCell ref="E158:E159"/>
    <mergeCell ref="F158:G158"/>
    <mergeCell ref="H158:H159"/>
    <mergeCell ref="I158:K158"/>
    <mergeCell ref="K173:K174"/>
    <mergeCell ref="B162:D162"/>
    <mergeCell ref="I167:I168"/>
    <mergeCell ref="J167:J168"/>
    <mergeCell ref="K167:K168"/>
    <mergeCell ref="H161:H170"/>
    <mergeCell ref="I170:I172"/>
    <mergeCell ref="J170:J172"/>
    <mergeCell ref="K170:K172"/>
    <mergeCell ref="E172:E173"/>
    <mergeCell ref="F172:F173"/>
    <mergeCell ref="G172:G173"/>
    <mergeCell ref="H172:H173"/>
    <mergeCell ref="I173:I174"/>
    <mergeCell ref="J173:J174"/>
    <mergeCell ref="J175:J177"/>
    <mergeCell ref="K175:K176"/>
    <mergeCell ref="E177:E178"/>
    <mergeCell ref="F177:F178"/>
    <mergeCell ref="G177:G178"/>
    <mergeCell ref="H177:H178"/>
    <mergeCell ref="I177:I178"/>
    <mergeCell ref="E174:E175"/>
    <mergeCell ref="F174:F175"/>
    <mergeCell ref="G174:G175"/>
    <mergeCell ref="I175:I17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5A99-3B1A-47CD-A8B5-6662E94D4F34}">
  <dimension ref="A2:L147"/>
  <sheetViews>
    <sheetView zoomScale="130" zoomScaleNormal="130" workbookViewId="0">
      <pane xSplit="2" ySplit="2" topLeftCell="C114" activePane="bottomRight" state="frozen"/>
      <selection pane="topRight" activeCell="C1" sqref="C1"/>
      <selection pane="bottomLeft" activeCell="A3" sqref="A3"/>
      <selection pane="bottomRight" activeCell="L44" sqref="L44"/>
    </sheetView>
  </sheetViews>
  <sheetFormatPr defaultColWidth="9" defaultRowHeight="15" x14ac:dyDescent="0.25"/>
  <cols>
    <col min="1" max="1" width="20.5" style="44" customWidth="1"/>
    <col min="2" max="2" width="32" style="44" customWidth="1"/>
    <col min="3" max="3" width="27.625" style="44" bestFit="1" customWidth="1"/>
    <col min="4" max="4" width="21.125" style="44" customWidth="1"/>
    <col min="5" max="5" width="20.5" style="44" customWidth="1"/>
    <col min="6" max="6" width="32" style="44" customWidth="1"/>
    <col min="7" max="7" width="18.5" style="44" customWidth="1"/>
    <col min="8" max="16384" width="9" style="44"/>
  </cols>
  <sheetData>
    <row r="2" spans="1:12" x14ac:dyDescent="0.25">
      <c r="A2" s="41" t="s">
        <v>152</v>
      </c>
      <c r="B2" s="41" t="s">
        <v>153</v>
      </c>
      <c r="C2" s="42" t="s">
        <v>154</v>
      </c>
      <c r="D2" s="43"/>
      <c r="E2" s="41" t="s">
        <v>155</v>
      </c>
      <c r="F2" s="41" t="s">
        <v>153</v>
      </c>
      <c r="G2" s="41" t="s">
        <v>156</v>
      </c>
      <c r="H2" s="43"/>
      <c r="I2" s="43"/>
      <c r="J2" s="43"/>
      <c r="K2" s="43"/>
      <c r="L2" s="43"/>
    </row>
    <row r="3" spans="1:12" x14ac:dyDescent="0.25">
      <c r="A3" s="45" t="s">
        <v>157</v>
      </c>
      <c r="B3" s="45" t="s">
        <v>158</v>
      </c>
      <c r="C3" s="46" t="s">
        <v>159</v>
      </c>
      <c r="D3" s="43"/>
      <c r="E3" s="45" t="s">
        <v>157</v>
      </c>
      <c r="F3" s="47" t="s">
        <v>160</v>
      </c>
      <c r="G3" s="46" t="s">
        <v>159</v>
      </c>
      <c r="H3" s="43"/>
      <c r="I3" s="43"/>
      <c r="J3" s="43"/>
      <c r="K3" s="43"/>
      <c r="L3" s="43"/>
    </row>
    <row r="4" spans="1:12" x14ac:dyDescent="0.25">
      <c r="A4" s="45" t="s">
        <v>161</v>
      </c>
      <c r="B4" s="45" t="s">
        <v>162</v>
      </c>
      <c r="C4" s="48" t="s">
        <v>163</v>
      </c>
      <c r="D4" s="43"/>
      <c r="E4" s="45" t="s">
        <v>161</v>
      </c>
      <c r="F4" s="47" t="s">
        <v>164</v>
      </c>
      <c r="G4" s="46" t="s">
        <v>159</v>
      </c>
      <c r="H4" s="43"/>
      <c r="I4" s="43"/>
      <c r="J4" s="43"/>
      <c r="K4" s="43"/>
      <c r="L4" s="43"/>
    </row>
    <row r="5" spans="1:12" x14ac:dyDescent="0.25">
      <c r="A5" s="45" t="s">
        <v>165</v>
      </c>
      <c r="B5" s="45" t="s">
        <v>166</v>
      </c>
      <c r="C5" s="46" t="s">
        <v>159</v>
      </c>
      <c r="D5" s="43"/>
      <c r="E5" s="45" t="s">
        <v>165</v>
      </c>
      <c r="F5" s="47" t="s">
        <v>168</v>
      </c>
      <c r="G5" s="46" t="s">
        <v>159</v>
      </c>
      <c r="I5" s="43"/>
      <c r="J5" s="43"/>
      <c r="K5" s="43"/>
      <c r="L5" s="43"/>
    </row>
    <row r="6" spans="1:12" x14ac:dyDescent="0.25">
      <c r="A6" s="45" t="s">
        <v>169</v>
      </c>
      <c r="B6" s="45" t="s">
        <v>170</v>
      </c>
      <c r="C6" s="46" t="s">
        <v>159</v>
      </c>
      <c r="D6" s="43"/>
      <c r="E6" s="45" t="s">
        <v>169</v>
      </c>
      <c r="F6" s="47" t="s">
        <v>171</v>
      </c>
      <c r="G6" s="48" t="s">
        <v>163</v>
      </c>
      <c r="H6" s="166"/>
      <c r="I6" s="43"/>
      <c r="J6" s="43"/>
      <c r="K6" s="43"/>
      <c r="L6" s="43"/>
    </row>
    <row r="7" spans="1:12" x14ac:dyDescent="0.25">
      <c r="A7" s="49" t="s">
        <v>172</v>
      </c>
      <c r="B7" s="45" t="s">
        <v>173</v>
      </c>
      <c r="C7" s="46" t="s">
        <v>159</v>
      </c>
      <c r="D7" s="43"/>
      <c r="E7" s="45" t="s">
        <v>172</v>
      </c>
      <c r="F7" s="47" t="s">
        <v>112</v>
      </c>
      <c r="G7" s="48" t="s">
        <v>163</v>
      </c>
      <c r="H7" s="166"/>
      <c r="I7" s="43"/>
      <c r="J7" s="43"/>
      <c r="K7" s="43"/>
      <c r="L7" s="43"/>
    </row>
    <row r="8" spans="1:12" x14ac:dyDescent="0.25">
      <c r="A8" s="45" t="s">
        <v>174</v>
      </c>
      <c r="B8" s="45" t="s">
        <v>175</v>
      </c>
      <c r="C8" s="50" t="s">
        <v>163</v>
      </c>
      <c r="D8" s="43"/>
      <c r="E8" s="45" t="s">
        <v>174</v>
      </c>
      <c r="F8" s="47" t="s">
        <v>176</v>
      </c>
      <c r="G8" s="48" t="s">
        <v>163</v>
      </c>
      <c r="H8" s="166"/>
      <c r="I8" s="43"/>
      <c r="J8" s="43"/>
      <c r="K8" s="43"/>
      <c r="L8" s="43"/>
    </row>
    <row r="9" spans="1:12" x14ac:dyDescent="0.25">
      <c r="A9" s="45" t="s">
        <v>177</v>
      </c>
      <c r="B9" s="45" t="s">
        <v>178</v>
      </c>
      <c r="C9" s="51" t="s">
        <v>178</v>
      </c>
      <c r="D9" s="43"/>
      <c r="E9" s="45" t="s">
        <v>177</v>
      </c>
      <c r="F9" s="47" t="s">
        <v>179</v>
      </c>
      <c r="G9" s="48" t="s">
        <v>163</v>
      </c>
      <c r="H9" s="166"/>
      <c r="I9" s="43"/>
      <c r="J9" s="43"/>
      <c r="K9" s="43"/>
      <c r="L9" s="43"/>
    </row>
    <row r="10" spans="1:12" x14ac:dyDescent="0.25">
      <c r="A10" s="45" t="s">
        <v>180</v>
      </c>
      <c r="B10" s="45" t="s">
        <v>181</v>
      </c>
      <c r="C10" s="46" t="s">
        <v>159</v>
      </c>
      <c r="D10" s="43"/>
      <c r="E10" s="45" t="s">
        <v>180</v>
      </c>
      <c r="F10" s="47" t="s">
        <v>182</v>
      </c>
      <c r="G10" s="48" t="s">
        <v>163</v>
      </c>
      <c r="H10" s="166"/>
      <c r="I10" s="43"/>
      <c r="J10" s="43"/>
      <c r="K10" s="43"/>
      <c r="L10" s="43"/>
    </row>
    <row r="11" spans="1:12" x14ac:dyDescent="0.25">
      <c r="A11" s="45" t="s">
        <v>183</v>
      </c>
      <c r="B11" s="45" t="s">
        <v>184</v>
      </c>
      <c r="C11" s="46" t="s">
        <v>159</v>
      </c>
      <c r="D11" s="43"/>
      <c r="E11" s="45" t="s">
        <v>183</v>
      </c>
      <c r="F11" s="47" t="s">
        <v>185</v>
      </c>
      <c r="G11" s="48" t="s">
        <v>163</v>
      </c>
      <c r="H11" s="166"/>
      <c r="I11" s="43"/>
      <c r="J11" s="43"/>
      <c r="K11" s="43"/>
      <c r="L11" s="43"/>
    </row>
    <row r="12" spans="1:12" x14ac:dyDescent="0.25">
      <c r="A12" s="45" t="s">
        <v>186</v>
      </c>
      <c r="B12" s="45" t="s">
        <v>187</v>
      </c>
      <c r="C12" s="46" t="s">
        <v>159</v>
      </c>
      <c r="D12" s="43"/>
      <c r="E12" s="45" t="s">
        <v>186</v>
      </c>
      <c r="F12" s="47" t="s">
        <v>188</v>
      </c>
      <c r="G12" s="48" t="s">
        <v>163</v>
      </c>
      <c r="H12" s="167"/>
      <c r="I12" s="43"/>
      <c r="J12" s="43"/>
      <c r="K12" s="43"/>
      <c r="L12" s="43"/>
    </row>
    <row r="13" spans="1:12" x14ac:dyDescent="0.25">
      <c r="A13" s="45" t="s">
        <v>189</v>
      </c>
      <c r="B13" s="45" t="s">
        <v>190</v>
      </c>
      <c r="C13" s="48" t="s">
        <v>163</v>
      </c>
      <c r="D13" s="43"/>
      <c r="E13" s="45" t="s">
        <v>189</v>
      </c>
      <c r="F13" s="47" t="s">
        <v>191</v>
      </c>
      <c r="G13" s="48" t="s">
        <v>163</v>
      </c>
      <c r="H13" s="166"/>
      <c r="I13" s="43"/>
      <c r="J13" s="43"/>
      <c r="K13" s="43"/>
      <c r="L13" s="43"/>
    </row>
    <row r="14" spans="1:12" x14ac:dyDescent="0.25">
      <c r="A14" s="45" t="s">
        <v>192</v>
      </c>
      <c r="B14" s="45" t="s">
        <v>193</v>
      </c>
      <c r="C14" s="46" t="s">
        <v>194</v>
      </c>
      <c r="D14" s="43"/>
      <c r="E14" s="45" t="s">
        <v>192</v>
      </c>
      <c r="F14" s="47" t="s">
        <v>195</v>
      </c>
      <c r="G14" s="48" t="s">
        <v>163</v>
      </c>
      <c r="H14" s="166"/>
      <c r="I14" s="43"/>
      <c r="J14" s="43"/>
      <c r="K14" s="43"/>
      <c r="L14" s="43"/>
    </row>
    <row r="15" spans="1:12" x14ac:dyDescent="0.25">
      <c r="A15" s="45" t="s">
        <v>196</v>
      </c>
      <c r="B15" s="45" t="s">
        <v>197</v>
      </c>
      <c r="C15" s="46" t="s">
        <v>159</v>
      </c>
      <c r="D15" s="43"/>
      <c r="E15" s="45" t="s">
        <v>196</v>
      </c>
      <c r="F15" s="47" t="s">
        <v>198</v>
      </c>
      <c r="G15" s="48" t="s">
        <v>163</v>
      </c>
      <c r="H15" s="166"/>
      <c r="I15" s="43"/>
      <c r="J15" s="43"/>
      <c r="K15" s="43"/>
      <c r="L15" s="43"/>
    </row>
    <row r="16" spans="1:12" x14ac:dyDescent="0.25">
      <c r="A16" s="45" t="s">
        <v>199</v>
      </c>
      <c r="B16" s="45" t="s">
        <v>200</v>
      </c>
      <c r="C16" s="46" t="s">
        <v>159</v>
      </c>
      <c r="D16" s="43"/>
      <c r="E16" s="45" t="s">
        <v>199</v>
      </c>
      <c r="F16" s="47" t="s">
        <v>201</v>
      </c>
      <c r="G16" s="48" t="s">
        <v>163</v>
      </c>
      <c r="H16" s="166"/>
      <c r="I16" s="43"/>
      <c r="J16" s="43"/>
      <c r="K16" s="43"/>
      <c r="L16" s="43"/>
    </row>
    <row r="17" spans="1:12" x14ac:dyDescent="0.25">
      <c r="A17" s="45" t="s">
        <v>202</v>
      </c>
      <c r="B17" s="45" t="s">
        <v>203</v>
      </c>
      <c r="C17" s="51" t="s">
        <v>178</v>
      </c>
      <c r="D17" s="43"/>
      <c r="E17" s="45" t="s">
        <v>202</v>
      </c>
      <c r="F17" s="47" t="s">
        <v>204</v>
      </c>
      <c r="G17" s="48" t="s">
        <v>163</v>
      </c>
      <c r="H17" s="166"/>
      <c r="I17" s="43"/>
      <c r="J17" s="43"/>
      <c r="K17" s="43"/>
      <c r="L17" s="43"/>
    </row>
    <row r="18" spans="1:12" x14ac:dyDescent="0.25">
      <c r="A18" s="45" t="s">
        <v>205</v>
      </c>
      <c r="B18" s="45" t="s">
        <v>206</v>
      </c>
      <c r="C18" s="51" t="s">
        <v>178</v>
      </c>
      <c r="D18" s="43"/>
      <c r="E18" s="45" t="s">
        <v>205</v>
      </c>
      <c r="F18" s="47" t="s">
        <v>178</v>
      </c>
      <c r="G18" s="51" t="s">
        <v>178</v>
      </c>
      <c r="H18" s="167"/>
      <c r="I18" s="43"/>
      <c r="J18" s="43"/>
      <c r="K18" s="43"/>
      <c r="L18" s="43"/>
    </row>
    <row r="19" spans="1:12" x14ac:dyDescent="0.25">
      <c r="A19" s="45" t="s">
        <v>207</v>
      </c>
      <c r="B19" s="45" t="s">
        <v>178</v>
      </c>
      <c r="C19" s="51" t="s">
        <v>178</v>
      </c>
      <c r="D19" s="43"/>
      <c r="E19" s="45" t="s">
        <v>207</v>
      </c>
      <c r="F19" s="47" t="s">
        <v>208</v>
      </c>
      <c r="G19" s="48" t="s">
        <v>163</v>
      </c>
      <c r="H19" s="166"/>
      <c r="I19" s="43"/>
      <c r="J19" s="43"/>
      <c r="K19" s="43"/>
      <c r="L19" s="43"/>
    </row>
    <row r="20" spans="1:12" x14ac:dyDescent="0.25">
      <c r="A20" s="45" t="s">
        <v>209</v>
      </c>
      <c r="B20" s="52" t="s">
        <v>210</v>
      </c>
      <c r="C20" s="48" t="s">
        <v>163</v>
      </c>
      <c r="D20" s="43"/>
      <c r="E20" s="45" t="s">
        <v>209</v>
      </c>
      <c r="F20" s="47" t="s">
        <v>114</v>
      </c>
      <c r="G20" s="48" t="s">
        <v>163</v>
      </c>
      <c r="H20" s="166"/>
      <c r="I20" s="43"/>
      <c r="J20" s="43"/>
      <c r="K20" s="43"/>
      <c r="L20" s="43"/>
    </row>
    <row r="21" spans="1:12" x14ac:dyDescent="0.25">
      <c r="A21" s="45" t="s">
        <v>211</v>
      </c>
      <c r="B21" s="45" t="s">
        <v>178</v>
      </c>
      <c r="C21" s="51" t="s">
        <v>178</v>
      </c>
      <c r="D21" s="43"/>
      <c r="E21" s="45" t="s">
        <v>211</v>
      </c>
      <c r="F21" s="47" t="s">
        <v>178</v>
      </c>
      <c r="G21" s="51" t="s">
        <v>178</v>
      </c>
      <c r="H21" s="167"/>
      <c r="I21" s="43"/>
      <c r="J21" s="43"/>
      <c r="K21" s="43"/>
      <c r="L21" s="43"/>
    </row>
    <row r="22" spans="1:12" x14ac:dyDescent="0.25">
      <c r="A22" s="45" t="s">
        <v>212</v>
      </c>
      <c r="B22" s="45" t="s">
        <v>213</v>
      </c>
      <c r="C22" s="48" t="s">
        <v>163</v>
      </c>
      <c r="D22" s="43"/>
      <c r="E22" s="45" t="s">
        <v>212</v>
      </c>
      <c r="F22" s="47" t="s">
        <v>178</v>
      </c>
      <c r="G22" s="51" t="s">
        <v>178</v>
      </c>
      <c r="H22" s="167"/>
      <c r="I22" s="43"/>
      <c r="J22" s="43"/>
      <c r="K22" s="43"/>
      <c r="L22" s="43"/>
    </row>
    <row r="23" spans="1:12" x14ac:dyDescent="0.25">
      <c r="A23" s="45" t="s">
        <v>214</v>
      </c>
      <c r="B23" s="52" t="s">
        <v>215</v>
      </c>
      <c r="C23" s="46" t="s">
        <v>159</v>
      </c>
      <c r="D23" s="43"/>
      <c r="E23" s="45" t="s">
        <v>214</v>
      </c>
      <c r="F23" s="47" t="s">
        <v>111</v>
      </c>
      <c r="G23" s="48" t="s">
        <v>163</v>
      </c>
      <c r="H23" s="166"/>
      <c r="I23" s="43"/>
      <c r="J23" s="43"/>
      <c r="K23" s="43"/>
      <c r="L23" s="43"/>
    </row>
    <row r="24" spans="1:12" x14ac:dyDescent="0.25">
      <c r="A24" s="45" t="s">
        <v>216</v>
      </c>
      <c r="B24" s="45" t="s">
        <v>217</v>
      </c>
      <c r="C24" s="46" t="s">
        <v>159</v>
      </c>
      <c r="D24" s="43"/>
      <c r="E24" s="45" t="s">
        <v>218</v>
      </c>
      <c r="F24" s="47" t="s">
        <v>178</v>
      </c>
      <c r="G24" s="51" t="s">
        <v>178</v>
      </c>
      <c r="H24" s="167"/>
      <c r="I24" s="43"/>
      <c r="J24" s="43"/>
      <c r="K24" s="43"/>
      <c r="L24" s="43"/>
    </row>
    <row r="25" spans="1:12" x14ac:dyDescent="0.25">
      <c r="A25" s="45" t="s">
        <v>219</v>
      </c>
      <c r="B25" s="45" t="s">
        <v>220</v>
      </c>
      <c r="C25" s="51" t="s">
        <v>178</v>
      </c>
      <c r="D25" s="43"/>
      <c r="E25" s="53"/>
      <c r="F25" s="53"/>
      <c r="H25" s="167"/>
      <c r="I25" s="43"/>
      <c r="J25" s="43"/>
      <c r="K25" s="43"/>
      <c r="L25" s="43"/>
    </row>
    <row r="26" spans="1:12" x14ac:dyDescent="0.25">
      <c r="A26" s="45" t="s">
        <v>221</v>
      </c>
      <c r="B26" s="45" t="s">
        <v>222</v>
      </c>
      <c r="C26" s="46" t="s">
        <v>159</v>
      </c>
      <c r="D26" s="43"/>
      <c r="E26" s="53"/>
      <c r="F26" s="53"/>
      <c r="H26" s="167"/>
      <c r="I26" s="43"/>
      <c r="J26" s="43"/>
      <c r="K26" s="43"/>
      <c r="L26" s="43"/>
    </row>
    <row r="27" spans="1:12" x14ac:dyDescent="0.25">
      <c r="A27" s="45" t="s">
        <v>223</v>
      </c>
      <c r="B27" s="45" t="s">
        <v>224</v>
      </c>
      <c r="C27" s="48" t="s">
        <v>163</v>
      </c>
      <c r="D27" s="43"/>
      <c r="E27" s="41" t="s">
        <v>155</v>
      </c>
      <c r="F27" s="41" t="s">
        <v>153</v>
      </c>
      <c r="G27" s="41" t="s">
        <v>225</v>
      </c>
      <c r="H27" s="167"/>
      <c r="I27" s="43"/>
      <c r="J27" s="43"/>
      <c r="K27" s="43"/>
      <c r="L27" s="43"/>
    </row>
    <row r="28" spans="1:12" x14ac:dyDescent="0.25">
      <c r="A28" s="45" t="s">
        <v>226</v>
      </c>
      <c r="B28" s="45" t="s">
        <v>227</v>
      </c>
      <c r="C28" s="46" t="s">
        <v>159</v>
      </c>
      <c r="D28" s="43"/>
      <c r="E28" s="45" t="s">
        <v>157</v>
      </c>
      <c r="F28" s="47" t="s">
        <v>160</v>
      </c>
      <c r="G28" s="46" t="s">
        <v>159</v>
      </c>
      <c r="H28" s="168"/>
      <c r="I28" s="43"/>
      <c r="J28" s="43"/>
      <c r="K28" s="43"/>
      <c r="L28" s="43"/>
    </row>
    <row r="29" spans="1:12" x14ac:dyDescent="0.25">
      <c r="A29" s="45" t="s">
        <v>228</v>
      </c>
      <c r="B29" s="45" t="s">
        <v>229</v>
      </c>
      <c r="C29" s="48" t="s">
        <v>163</v>
      </c>
      <c r="D29" s="43"/>
      <c r="E29" s="45" t="s">
        <v>161</v>
      </c>
      <c r="F29" s="47" t="s">
        <v>164</v>
      </c>
      <c r="G29" s="48" t="s">
        <v>163</v>
      </c>
      <c r="H29" s="166"/>
      <c r="I29" s="43"/>
      <c r="J29" s="43"/>
      <c r="K29" s="43"/>
      <c r="L29" s="43"/>
    </row>
    <row r="30" spans="1:12" x14ac:dyDescent="0.25">
      <c r="A30" s="45" t="s">
        <v>230</v>
      </c>
      <c r="B30" s="45" t="s">
        <v>231</v>
      </c>
      <c r="C30" s="46" t="s">
        <v>159</v>
      </c>
      <c r="D30" s="43"/>
      <c r="E30" s="45" t="s">
        <v>165</v>
      </c>
      <c r="F30" s="47" t="s">
        <v>168</v>
      </c>
      <c r="G30" s="48" t="s">
        <v>163</v>
      </c>
      <c r="H30" s="166"/>
      <c r="I30" s="43"/>
      <c r="J30" s="43"/>
      <c r="K30" s="43"/>
      <c r="L30" s="43"/>
    </row>
    <row r="31" spans="1:12" x14ac:dyDescent="0.25">
      <c r="A31" s="45" t="s">
        <v>232</v>
      </c>
      <c r="B31" s="45" t="s">
        <v>233</v>
      </c>
      <c r="C31" s="46" t="s">
        <v>159</v>
      </c>
      <c r="D31" s="43"/>
      <c r="E31" s="45" t="s">
        <v>169</v>
      </c>
      <c r="F31" s="47" t="s">
        <v>171</v>
      </c>
      <c r="G31" s="46" t="s">
        <v>159</v>
      </c>
      <c r="H31" s="167"/>
      <c r="I31" s="43"/>
      <c r="J31" s="43"/>
      <c r="K31" s="43"/>
      <c r="L31" s="43"/>
    </row>
    <row r="32" spans="1:12" x14ac:dyDescent="0.25">
      <c r="A32" s="45" t="s">
        <v>234</v>
      </c>
      <c r="B32" s="45" t="s">
        <v>235</v>
      </c>
      <c r="C32" s="46" t="s">
        <v>159</v>
      </c>
      <c r="D32" s="43"/>
      <c r="E32" s="45" t="s">
        <v>172</v>
      </c>
      <c r="F32" s="47" t="s">
        <v>112</v>
      </c>
      <c r="G32" s="46" t="s">
        <v>159</v>
      </c>
      <c r="H32" s="167"/>
      <c r="I32" s="43"/>
      <c r="J32" s="43"/>
      <c r="K32" s="43"/>
      <c r="L32" s="43"/>
    </row>
    <row r="33" spans="1:12" x14ac:dyDescent="0.25">
      <c r="A33" s="45" t="s">
        <v>236</v>
      </c>
      <c r="B33" s="45" t="s">
        <v>178</v>
      </c>
      <c r="C33" s="51" t="s">
        <v>178</v>
      </c>
      <c r="D33" s="43"/>
      <c r="E33" s="45" t="s">
        <v>174</v>
      </c>
      <c r="F33" s="47" t="s">
        <v>176</v>
      </c>
      <c r="G33" s="46" t="s">
        <v>159</v>
      </c>
      <c r="H33" s="167"/>
      <c r="I33" s="43"/>
      <c r="J33" s="43"/>
      <c r="K33" s="43"/>
      <c r="L33" s="43"/>
    </row>
    <row r="34" spans="1:12" x14ac:dyDescent="0.25">
      <c r="A34" s="45" t="s">
        <v>237</v>
      </c>
      <c r="B34" s="45" t="s">
        <v>178</v>
      </c>
      <c r="C34" s="51" t="s">
        <v>178</v>
      </c>
      <c r="D34" s="43"/>
      <c r="E34" s="45" t="s">
        <v>177</v>
      </c>
      <c r="F34" s="47" t="s">
        <v>179</v>
      </c>
      <c r="G34" s="46" t="s">
        <v>159</v>
      </c>
      <c r="H34" s="167"/>
      <c r="I34" s="43"/>
      <c r="J34" s="43"/>
      <c r="K34" s="43"/>
      <c r="L34" s="43"/>
    </row>
    <row r="35" spans="1:12" x14ac:dyDescent="0.25">
      <c r="A35" s="45" t="s">
        <v>238</v>
      </c>
      <c r="B35" s="45" t="s">
        <v>239</v>
      </c>
      <c r="C35" s="48" t="s">
        <v>163</v>
      </c>
      <c r="D35" s="43"/>
      <c r="E35" s="45" t="s">
        <v>180</v>
      </c>
      <c r="F35" s="47" t="s">
        <v>182</v>
      </c>
      <c r="G35" s="46" t="s">
        <v>159</v>
      </c>
      <c r="H35" s="167"/>
      <c r="I35" s="43"/>
      <c r="J35" s="43"/>
      <c r="K35" s="43"/>
      <c r="L35" s="43"/>
    </row>
    <row r="36" spans="1:12" x14ac:dyDescent="0.25">
      <c r="A36" s="45" t="s">
        <v>240</v>
      </c>
      <c r="B36" s="45" t="s">
        <v>241</v>
      </c>
      <c r="C36" s="48" t="s">
        <v>163</v>
      </c>
      <c r="D36" s="43"/>
      <c r="E36" s="45" t="s">
        <v>183</v>
      </c>
      <c r="F36" s="47" t="s">
        <v>185</v>
      </c>
      <c r="G36" s="46" t="s">
        <v>159</v>
      </c>
      <c r="H36" s="167"/>
      <c r="I36" s="43"/>
      <c r="J36" s="43"/>
      <c r="K36" s="43"/>
      <c r="L36" s="43"/>
    </row>
    <row r="37" spans="1:12" x14ac:dyDescent="0.25">
      <c r="A37" s="45" t="s">
        <v>242</v>
      </c>
      <c r="B37" s="45" t="s">
        <v>243</v>
      </c>
      <c r="C37" s="48" t="s">
        <v>163</v>
      </c>
      <c r="D37" s="43"/>
      <c r="E37" s="45" t="s">
        <v>186</v>
      </c>
      <c r="F37" s="47" t="s">
        <v>188</v>
      </c>
      <c r="G37" s="48" t="s">
        <v>163</v>
      </c>
      <c r="H37" s="166"/>
      <c r="I37" s="43"/>
      <c r="J37" s="43"/>
      <c r="K37" s="43"/>
      <c r="L37" s="43"/>
    </row>
    <row r="38" spans="1:12" x14ac:dyDescent="0.25">
      <c r="A38" s="45" t="s">
        <v>244</v>
      </c>
      <c r="B38" s="45" t="s">
        <v>245</v>
      </c>
      <c r="C38" s="48" t="s">
        <v>163</v>
      </c>
      <c r="D38" s="43"/>
      <c r="E38" s="45" t="s">
        <v>189</v>
      </c>
      <c r="F38" s="47" t="s">
        <v>191</v>
      </c>
      <c r="G38" s="48" t="s">
        <v>163</v>
      </c>
      <c r="H38" s="167"/>
      <c r="I38" s="43"/>
      <c r="J38" s="43"/>
      <c r="K38" s="43"/>
      <c r="L38" s="43"/>
    </row>
    <row r="39" spans="1:12" x14ac:dyDescent="0.25">
      <c r="A39" s="45" t="s">
        <v>246</v>
      </c>
      <c r="B39" s="45" t="s">
        <v>247</v>
      </c>
      <c r="C39" s="48" t="s">
        <v>163</v>
      </c>
      <c r="D39" s="43"/>
      <c r="E39" s="45" t="s">
        <v>192</v>
      </c>
      <c r="F39" s="47" t="s">
        <v>195</v>
      </c>
      <c r="G39" s="54" t="s">
        <v>159</v>
      </c>
      <c r="H39" s="169"/>
      <c r="I39" s="43"/>
      <c r="J39" s="43"/>
      <c r="K39" s="43"/>
      <c r="L39" s="43"/>
    </row>
    <row r="40" spans="1:12" x14ac:dyDescent="0.25">
      <c r="A40" s="45" t="s">
        <v>248</v>
      </c>
      <c r="B40" s="45" t="s">
        <v>249</v>
      </c>
      <c r="C40" s="48" t="s">
        <v>163</v>
      </c>
      <c r="D40" s="43"/>
      <c r="E40" s="45" t="s">
        <v>196</v>
      </c>
      <c r="F40" s="47" t="s">
        <v>198</v>
      </c>
      <c r="G40" s="48" t="s">
        <v>163</v>
      </c>
      <c r="H40" s="167"/>
      <c r="I40" s="43"/>
      <c r="J40" s="43"/>
      <c r="K40" s="43"/>
      <c r="L40" s="43"/>
    </row>
    <row r="41" spans="1:12" x14ac:dyDescent="0.25">
      <c r="A41" s="45" t="s">
        <v>250</v>
      </c>
      <c r="B41" s="45" t="s">
        <v>251</v>
      </c>
      <c r="C41" s="46" t="s">
        <v>159</v>
      </c>
      <c r="D41" s="43"/>
      <c r="E41" s="45" t="s">
        <v>199</v>
      </c>
      <c r="F41" s="47" t="s">
        <v>201</v>
      </c>
      <c r="G41" s="48" t="s">
        <v>163</v>
      </c>
      <c r="H41" s="167"/>
      <c r="I41" s="43"/>
      <c r="J41" s="43"/>
      <c r="K41" s="43"/>
      <c r="L41" s="43"/>
    </row>
    <row r="42" spans="1:12" x14ac:dyDescent="0.25">
      <c r="A42" s="45" t="s">
        <v>252</v>
      </c>
      <c r="B42" s="45" t="s">
        <v>253</v>
      </c>
      <c r="C42" s="46" t="s">
        <v>167</v>
      </c>
      <c r="D42" s="43"/>
      <c r="E42" s="45" t="s">
        <v>202</v>
      </c>
      <c r="F42" s="47" t="s">
        <v>204</v>
      </c>
      <c r="G42" s="48" t="s">
        <v>163</v>
      </c>
      <c r="H42" s="167"/>
      <c r="I42" s="43"/>
      <c r="J42" s="43"/>
      <c r="K42" s="43"/>
      <c r="L42" s="43"/>
    </row>
    <row r="43" spans="1:12" x14ac:dyDescent="0.25">
      <c r="A43" s="45" t="s">
        <v>254</v>
      </c>
      <c r="B43" s="45" t="s">
        <v>255</v>
      </c>
      <c r="C43" s="48" t="s">
        <v>163</v>
      </c>
      <c r="D43" s="43"/>
      <c r="E43" s="45" t="s">
        <v>205</v>
      </c>
      <c r="F43" s="47" t="s">
        <v>178</v>
      </c>
      <c r="G43" s="51" t="s">
        <v>178</v>
      </c>
      <c r="H43" s="167"/>
      <c r="I43" s="43"/>
      <c r="J43" s="43"/>
      <c r="K43" s="43"/>
      <c r="L43" s="43"/>
    </row>
    <row r="44" spans="1:12" x14ac:dyDescent="0.25">
      <c r="A44" s="45" t="s">
        <v>256</v>
      </c>
      <c r="B44" s="45" t="s">
        <v>257</v>
      </c>
      <c r="C44" s="48" t="s">
        <v>163</v>
      </c>
      <c r="D44" s="43"/>
      <c r="E44" s="45" t="s">
        <v>207</v>
      </c>
      <c r="F44" s="47" t="s">
        <v>208</v>
      </c>
      <c r="G44" s="48" t="s">
        <v>163</v>
      </c>
      <c r="H44" s="167"/>
      <c r="I44" s="43"/>
      <c r="J44" s="43"/>
      <c r="K44" s="43"/>
      <c r="L44" s="43"/>
    </row>
    <row r="45" spans="1:12" x14ac:dyDescent="0.25">
      <c r="A45" s="45" t="s">
        <v>258</v>
      </c>
      <c r="B45" s="45" t="s">
        <v>259</v>
      </c>
      <c r="C45" s="48" t="s">
        <v>163</v>
      </c>
      <c r="D45" s="43"/>
      <c r="E45" s="45" t="s">
        <v>209</v>
      </c>
      <c r="F45" s="47" t="s">
        <v>114</v>
      </c>
      <c r="G45" s="48" t="s">
        <v>163</v>
      </c>
      <c r="H45" s="167"/>
      <c r="I45" s="43"/>
      <c r="J45" s="43"/>
      <c r="K45" s="43"/>
      <c r="L45" s="43"/>
    </row>
    <row r="46" spans="1:12" x14ac:dyDescent="0.25">
      <c r="A46" s="45" t="s">
        <v>260</v>
      </c>
      <c r="B46" s="45" t="s">
        <v>261</v>
      </c>
      <c r="C46" s="48" t="s">
        <v>163</v>
      </c>
      <c r="D46" s="43"/>
      <c r="E46" s="45" t="s">
        <v>211</v>
      </c>
      <c r="F46" s="47" t="s">
        <v>178</v>
      </c>
      <c r="G46" s="51" t="s">
        <v>178</v>
      </c>
      <c r="H46" s="167"/>
      <c r="I46" s="43"/>
      <c r="J46" s="43"/>
      <c r="K46" s="43"/>
      <c r="L46" s="43"/>
    </row>
    <row r="47" spans="1:12" x14ac:dyDescent="0.25">
      <c r="A47" s="45" t="s">
        <v>262</v>
      </c>
      <c r="B47" s="45" t="s">
        <v>263</v>
      </c>
      <c r="C47" s="48" t="s">
        <v>163</v>
      </c>
      <c r="D47" s="43"/>
      <c r="E47" s="45" t="s">
        <v>212</v>
      </c>
      <c r="F47" s="47" t="s">
        <v>178</v>
      </c>
      <c r="G47" s="51" t="s">
        <v>178</v>
      </c>
      <c r="H47" s="167"/>
      <c r="I47" s="43"/>
      <c r="J47" s="43"/>
      <c r="K47" s="43"/>
      <c r="L47" s="43"/>
    </row>
    <row r="48" spans="1:12" x14ac:dyDescent="0.25">
      <c r="A48" s="45" t="s">
        <v>264</v>
      </c>
      <c r="B48" s="45" t="s">
        <v>178</v>
      </c>
      <c r="C48" s="51" t="s">
        <v>178</v>
      </c>
      <c r="D48" s="43"/>
      <c r="E48" s="45" t="s">
        <v>214</v>
      </c>
      <c r="F48" s="47" t="s">
        <v>111</v>
      </c>
      <c r="G48" s="46" t="s">
        <v>159</v>
      </c>
      <c r="H48" s="167"/>
      <c r="I48" s="43"/>
      <c r="J48" s="43"/>
      <c r="K48" s="43"/>
      <c r="L48" s="43"/>
    </row>
    <row r="49" spans="1:12" x14ac:dyDescent="0.25">
      <c r="A49" s="45" t="s">
        <v>265</v>
      </c>
      <c r="B49" s="45" t="s">
        <v>178</v>
      </c>
      <c r="C49" s="51" t="s">
        <v>178</v>
      </c>
      <c r="D49" s="43"/>
      <c r="E49" s="45" t="s">
        <v>266</v>
      </c>
      <c r="F49" s="47" t="s">
        <v>267</v>
      </c>
      <c r="G49" s="46" t="s">
        <v>159</v>
      </c>
      <c r="H49" s="167"/>
      <c r="L49" s="43"/>
    </row>
    <row r="50" spans="1:12" x14ac:dyDescent="0.25">
      <c r="A50" s="45" t="s">
        <v>268</v>
      </c>
      <c r="B50" s="45" t="s">
        <v>269</v>
      </c>
      <c r="C50" s="46" t="s">
        <v>159</v>
      </c>
      <c r="D50" s="43"/>
      <c r="E50" s="45" t="s">
        <v>218</v>
      </c>
      <c r="F50" s="47" t="s">
        <v>178</v>
      </c>
      <c r="G50" s="51" t="s">
        <v>178</v>
      </c>
      <c r="H50" s="167"/>
      <c r="I50" s="43"/>
      <c r="J50" s="43"/>
      <c r="K50" s="43"/>
      <c r="L50" s="43"/>
    </row>
    <row r="51" spans="1:12" x14ac:dyDescent="0.25">
      <c r="A51" s="45" t="s">
        <v>270</v>
      </c>
      <c r="B51" s="52" t="s">
        <v>271</v>
      </c>
      <c r="C51" s="46" t="s">
        <v>159</v>
      </c>
      <c r="D51" s="43"/>
      <c r="E51" s="43"/>
      <c r="F51" s="43"/>
      <c r="G51" s="43"/>
      <c r="H51" s="167"/>
      <c r="I51" s="43"/>
      <c r="J51" s="43"/>
      <c r="K51" s="43"/>
      <c r="L51" s="43"/>
    </row>
    <row r="52" spans="1:12" x14ac:dyDescent="0.25">
      <c r="A52" s="45" t="s">
        <v>272</v>
      </c>
      <c r="B52" s="52" t="s">
        <v>273</v>
      </c>
      <c r="C52" s="46" t="s">
        <v>159</v>
      </c>
      <c r="D52" s="43"/>
      <c r="E52" s="41" t="s">
        <v>274</v>
      </c>
      <c r="F52" s="41" t="s">
        <v>153</v>
      </c>
      <c r="G52" s="41" t="s">
        <v>156</v>
      </c>
      <c r="H52" s="167"/>
      <c r="I52" s="43"/>
      <c r="J52" s="43"/>
      <c r="K52" s="43"/>
      <c r="L52" s="43"/>
    </row>
    <row r="53" spans="1:12" x14ac:dyDescent="0.25">
      <c r="A53" s="45" t="s">
        <v>275</v>
      </c>
      <c r="B53" s="52" t="s">
        <v>276</v>
      </c>
      <c r="C53" s="46" t="s">
        <v>159</v>
      </c>
      <c r="D53" s="43"/>
      <c r="E53" s="45" t="s">
        <v>157</v>
      </c>
      <c r="F53" s="47" t="s">
        <v>277</v>
      </c>
      <c r="G53" s="46" t="s">
        <v>159</v>
      </c>
      <c r="H53" s="167"/>
      <c r="I53" s="43"/>
      <c r="J53" s="43"/>
      <c r="K53" s="43"/>
      <c r="L53" s="43"/>
    </row>
    <row r="54" spans="1:12" x14ac:dyDescent="0.25">
      <c r="A54" s="45" t="s">
        <v>278</v>
      </c>
      <c r="B54" s="45" t="s">
        <v>178</v>
      </c>
      <c r="C54" s="51" t="s">
        <v>178</v>
      </c>
      <c r="D54" s="43"/>
      <c r="E54" s="45" t="s">
        <v>161</v>
      </c>
      <c r="F54" s="47" t="s">
        <v>279</v>
      </c>
      <c r="G54" s="46" t="s">
        <v>159</v>
      </c>
      <c r="H54" s="167"/>
      <c r="I54" s="43"/>
      <c r="J54" s="43"/>
      <c r="K54" s="43"/>
      <c r="L54" s="43"/>
    </row>
    <row r="55" spans="1:12" x14ac:dyDescent="0.25">
      <c r="A55" s="45" t="s">
        <v>280</v>
      </c>
      <c r="B55" s="45" t="s">
        <v>178</v>
      </c>
      <c r="C55" s="51" t="s">
        <v>178</v>
      </c>
      <c r="D55" s="43"/>
      <c r="E55" s="45" t="s">
        <v>165</v>
      </c>
      <c r="F55" s="47" t="s">
        <v>281</v>
      </c>
      <c r="G55" s="46" t="s">
        <v>159</v>
      </c>
      <c r="H55" s="167"/>
      <c r="I55" s="43"/>
      <c r="J55" s="43"/>
      <c r="K55" s="43"/>
      <c r="L55" s="43"/>
    </row>
    <row r="56" spans="1:12" x14ac:dyDescent="0.25">
      <c r="A56" s="45" t="s">
        <v>282</v>
      </c>
      <c r="B56" s="45" t="s">
        <v>283</v>
      </c>
      <c r="C56" s="48" t="s">
        <v>163</v>
      </c>
      <c r="D56" s="43"/>
      <c r="E56" s="45" t="s">
        <v>169</v>
      </c>
      <c r="F56" s="47" t="s">
        <v>284</v>
      </c>
      <c r="G56" s="46" t="s">
        <v>159</v>
      </c>
      <c r="H56" s="167"/>
      <c r="I56" s="43"/>
      <c r="J56" s="43"/>
      <c r="K56" s="43"/>
      <c r="L56" s="43"/>
    </row>
    <row r="57" spans="1:12" x14ac:dyDescent="0.25">
      <c r="A57" s="45" t="s">
        <v>285</v>
      </c>
      <c r="B57" s="45" t="s">
        <v>286</v>
      </c>
      <c r="C57" s="48" t="s">
        <v>163</v>
      </c>
      <c r="D57" s="43"/>
      <c r="E57" s="45" t="s">
        <v>172</v>
      </c>
      <c r="F57" s="47" t="s">
        <v>287</v>
      </c>
      <c r="G57" s="48" t="s">
        <v>163</v>
      </c>
      <c r="H57" s="166"/>
      <c r="I57" s="43"/>
      <c r="J57" s="43"/>
      <c r="K57" s="43"/>
      <c r="L57" s="43"/>
    </row>
    <row r="58" spans="1:12" x14ac:dyDescent="0.25">
      <c r="A58" s="45" t="s">
        <v>288</v>
      </c>
      <c r="B58" s="45" t="s">
        <v>178</v>
      </c>
      <c r="C58" s="51" t="s">
        <v>178</v>
      </c>
      <c r="D58" s="43"/>
      <c r="E58" s="45" t="s">
        <v>174</v>
      </c>
      <c r="F58" s="47" t="s">
        <v>289</v>
      </c>
      <c r="G58" s="48" t="s">
        <v>163</v>
      </c>
      <c r="H58" s="167"/>
      <c r="I58" s="43"/>
      <c r="J58" s="43"/>
      <c r="K58" s="43"/>
      <c r="L58" s="43"/>
    </row>
    <row r="59" spans="1:12" x14ac:dyDescent="0.25">
      <c r="A59" s="45" t="s">
        <v>290</v>
      </c>
      <c r="B59" s="45" t="s">
        <v>178</v>
      </c>
      <c r="C59" s="51" t="s">
        <v>178</v>
      </c>
      <c r="D59" s="43"/>
      <c r="E59" s="45" t="s">
        <v>177</v>
      </c>
      <c r="F59" s="47" t="s">
        <v>291</v>
      </c>
      <c r="G59" s="48" t="s">
        <v>163</v>
      </c>
      <c r="H59" s="167"/>
      <c r="I59" s="43"/>
      <c r="J59" s="43"/>
      <c r="K59" s="43"/>
      <c r="L59" s="43"/>
    </row>
    <row r="60" spans="1:12" x14ac:dyDescent="0.25">
      <c r="A60" s="45" t="s">
        <v>292</v>
      </c>
      <c r="B60" s="45" t="s">
        <v>178</v>
      </c>
      <c r="C60" s="51" t="s">
        <v>178</v>
      </c>
      <c r="D60" s="43"/>
      <c r="E60" s="45" t="s">
        <v>180</v>
      </c>
      <c r="F60" s="47" t="s">
        <v>293</v>
      </c>
      <c r="G60" s="48" t="s">
        <v>163</v>
      </c>
      <c r="H60" s="167"/>
      <c r="I60" s="43"/>
      <c r="J60" s="43"/>
      <c r="K60" s="43"/>
      <c r="L60" s="43"/>
    </row>
    <row r="61" spans="1:12" x14ac:dyDescent="0.25">
      <c r="A61" s="45" t="s">
        <v>294</v>
      </c>
      <c r="B61" s="45" t="s">
        <v>295</v>
      </c>
      <c r="C61" s="48" t="s">
        <v>163</v>
      </c>
      <c r="D61" s="43"/>
      <c r="E61" s="45" t="s">
        <v>183</v>
      </c>
      <c r="F61" s="47" t="s">
        <v>178</v>
      </c>
      <c r="G61" s="51" t="s">
        <v>178</v>
      </c>
      <c r="H61" s="167"/>
      <c r="I61" s="43"/>
      <c r="J61" s="43"/>
      <c r="K61" s="43"/>
      <c r="L61" s="43"/>
    </row>
    <row r="62" spans="1:12" x14ac:dyDescent="0.25">
      <c r="A62" s="45" t="s">
        <v>296</v>
      </c>
      <c r="B62" s="45" t="s">
        <v>178</v>
      </c>
      <c r="C62" s="51" t="s">
        <v>178</v>
      </c>
      <c r="D62" s="43"/>
      <c r="E62" s="45" t="s">
        <v>186</v>
      </c>
      <c r="F62" s="47" t="s">
        <v>178</v>
      </c>
      <c r="G62" s="51" t="s">
        <v>178</v>
      </c>
      <c r="H62" s="167"/>
      <c r="I62" s="43"/>
      <c r="J62" s="43"/>
      <c r="K62" s="43"/>
      <c r="L62" s="43"/>
    </row>
    <row r="63" spans="1:12" x14ac:dyDescent="0.25">
      <c r="A63" s="45" t="s">
        <v>297</v>
      </c>
      <c r="B63" s="52" t="s">
        <v>298</v>
      </c>
      <c r="C63" s="55" t="s">
        <v>159</v>
      </c>
      <c r="D63" s="43"/>
      <c r="E63" s="45" t="s">
        <v>189</v>
      </c>
      <c r="F63" s="47" t="s">
        <v>178</v>
      </c>
      <c r="G63" s="51" t="s">
        <v>178</v>
      </c>
      <c r="H63" s="167"/>
      <c r="I63" s="43"/>
      <c r="J63" s="43"/>
      <c r="K63" s="43"/>
      <c r="L63" s="43"/>
    </row>
    <row r="64" spans="1:12" x14ac:dyDescent="0.25">
      <c r="A64" s="45" t="s">
        <v>299</v>
      </c>
      <c r="B64" s="45" t="s">
        <v>178</v>
      </c>
      <c r="C64" s="51" t="s">
        <v>178</v>
      </c>
      <c r="D64" s="43"/>
      <c r="E64" s="45" t="s">
        <v>192</v>
      </c>
      <c r="F64" s="47" t="s">
        <v>300</v>
      </c>
      <c r="G64" s="48" t="s">
        <v>163</v>
      </c>
      <c r="H64" s="166"/>
      <c r="I64" s="43"/>
      <c r="J64" s="43"/>
      <c r="K64" s="43"/>
      <c r="L64" s="43"/>
    </row>
    <row r="65" spans="1:12" x14ac:dyDescent="0.25">
      <c r="A65" s="45" t="s">
        <v>301</v>
      </c>
      <c r="B65" s="45" t="s">
        <v>302</v>
      </c>
      <c r="C65" s="48" t="s">
        <v>163</v>
      </c>
      <c r="D65" s="43"/>
      <c r="E65" s="45" t="s">
        <v>196</v>
      </c>
      <c r="F65" s="47" t="s">
        <v>303</v>
      </c>
      <c r="G65" s="48" t="s">
        <v>163</v>
      </c>
      <c r="H65" s="166"/>
      <c r="I65" s="43"/>
      <c r="J65" s="43"/>
      <c r="K65" s="43"/>
      <c r="L65" s="43"/>
    </row>
    <row r="66" spans="1:12" x14ac:dyDescent="0.25">
      <c r="A66" s="45" t="s">
        <v>304</v>
      </c>
      <c r="B66" s="45" t="s">
        <v>305</v>
      </c>
      <c r="C66" s="48" t="s">
        <v>163</v>
      </c>
      <c r="D66" s="43"/>
      <c r="E66" s="45" t="s">
        <v>199</v>
      </c>
      <c r="F66" s="47" t="s">
        <v>178</v>
      </c>
      <c r="G66" s="51" t="s">
        <v>178</v>
      </c>
      <c r="H66" s="167"/>
      <c r="I66" s="43"/>
      <c r="J66" s="43"/>
      <c r="K66" s="43"/>
      <c r="L66" s="43"/>
    </row>
    <row r="67" spans="1:12" x14ac:dyDescent="0.25">
      <c r="A67" s="45" t="s">
        <v>306</v>
      </c>
      <c r="B67" s="45" t="s">
        <v>307</v>
      </c>
      <c r="C67" s="48" t="s">
        <v>163</v>
      </c>
      <c r="D67" s="43"/>
      <c r="E67" s="45" t="s">
        <v>202</v>
      </c>
      <c r="F67" s="47" t="s">
        <v>178</v>
      </c>
      <c r="G67" s="51" t="s">
        <v>178</v>
      </c>
      <c r="H67" s="167"/>
      <c r="I67" s="43"/>
      <c r="J67" s="43"/>
      <c r="K67" s="43"/>
      <c r="L67" s="43"/>
    </row>
    <row r="68" spans="1:12" x14ac:dyDescent="0.25">
      <c r="A68" s="45" t="s">
        <v>308</v>
      </c>
      <c r="B68" s="45" t="s">
        <v>178</v>
      </c>
      <c r="C68" s="51" t="s">
        <v>178</v>
      </c>
      <c r="D68" s="43"/>
      <c r="E68" s="45" t="s">
        <v>205</v>
      </c>
      <c r="F68" s="47" t="s">
        <v>178</v>
      </c>
      <c r="G68" s="51" t="s">
        <v>178</v>
      </c>
      <c r="H68" s="167"/>
      <c r="I68" s="43"/>
      <c r="J68" s="43"/>
      <c r="K68" s="43"/>
      <c r="L68" s="43"/>
    </row>
    <row r="69" spans="1:12" x14ac:dyDescent="0.25">
      <c r="A69" s="45" t="s">
        <v>309</v>
      </c>
      <c r="B69" s="45" t="s">
        <v>310</v>
      </c>
      <c r="C69" s="48" t="s">
        <v>163</v>
      </c>
      <c r="D69" s="43"/>
      <c r="E69" s="43"/>
      <c r="F69" s="43"/>
      <c r="G69" s="43"/>
      <c r="H69" s="167"/>
      <c r="I69" s="43"/>
      <c r="J69" s="43"/>
      <c r="K69" s="43"/>
      <c r="L69" s="43"/>
    </row>
    <row r="70" spans="1:12" x14ac:dyDescent="0.25">
      <c r="A70" s="45" t="s">
        <v>311</v>
      </c>
      <c r="B70" s="45" t="s">
        <v>178</v>
      </c>
      <c r="C70" s="51" t="s">
        <v>178</v>
      </c>
      <c r="D70" s="43"/>
      <c r="E70" s="41" t="s">
        <v>274</v>
      </c>
      <c r="F70" s="41" t="s">
        <v>153</v>
      </c>
      <c r="G70" s="41" t="s">
        <v>225</v>
      </c>
      <c r="H70" s="167"/>
      <c r="I70" s="43"/>
      <c r="J70" s="43"/>
      <c r="K70" s="43"/>
      <c r="L70" s="43"/>
    </row>
    <row r="71" spans="1:12" x14ac:dyDescent="0.25">
      <c r="A71" s="45" t="s">
        <v>312</v>
      </c>
      <c r="B71" s="45" t="s">
        <v>313</v>
      </c>
      <c r="C71" s="48" t="s">
        <v>163</v>
      </c>
      <c r="D71" s="43"/>
      <c r="E71" s="45" t="s">
        <v>157</v>
      </c>
      <c r="F71" s="47" t="s">
        <v>277</v>
      </c>
      <c r="G71" s="46" t="s">
        <v>159</v>
      </c>
      <c r="H71" s="168"/>
      <c r="I71" s="43"/>
      <c r="J71" s="43"/>
      <c r="K71" s="43"/>
      <c r="L71" s="43"/>
    </row>
    <row r="72" spans="1:12" x14ac:dyDescent="0.25">
      <c r="A72" s="45" t="s">
        <v>314</v>
      </c>
      <c r="B72" s="45" t="s">
        <v>178</v>
      </c>
      <c r="C72" s="51" t="s">
        <v>178</v>
      </c>
      <c r="D72" s="43"/>
      <c r="E72" s="45" t="s">
        <v>161</v>
      </c>
      <c r="F72" s="47" t="s">
        <v>279</v>
      </c>
      <c r="G72" s="48" t="s">
        <v>163</v>
      </c>
      <c r="H72" s="166"/>
      <c r="I72" s="43"/>
      <c r="J72" s="43"/>
      <c r="K72" s="43"/>
      <c r="L72" s="43"/>
    </row>
    <row r="73" spans="1:12" x14ac:dyDescent="0.25">
      <c r="A73" s="45" t="s">
        <v>315</v>
      </c>
      <c r="B73" s="45" t="s">
        <v>316</v>
      </c>
      <c r="C73" s="48" t="s">
        <v>163</v>
      </c>
      <c r="D73" s="43"/>
      <c r="E73" s="45" t="s">
        <v>165</v>
      </c>
      <c r="F73" s="47" t="s">
        <v>281</v>
      </c>
      <c r="G73" s="48" t="s">
        <v>163</v>
      </c>
      <c r="H73" s="166"/>
      <c r="I73" s="43"/>
      <c r="J73" s="43"/>
      <c r="K73" s="43"/>
      <c r="L73" s="43"/>
    </row>
    <row r="74" spans="1:12" x14ac:dyDescent="0.25">
      <c r="A74" s="45" t="s">
        <v>317</v>
      </c>
      <c r="B74" s="45" t="s">
        <v>318</v>
      </c>
      <c r="C74" s="46" t="s">
        <v>159</v>
      </c>
      <c r="D74" s="43"/>
      <c r="E74" s="45" t="s">
        <v>169</v>
      </c>
      <c r="F74" s="47" t="s">
        <v>284</v>
      </c>
      <c r="G74" s="48" t="s">
        <v>163</v>
      </c>
      <c r="H74" s="166"/>
      <c r="I74" s="43"/>
      <c r="J74" s="43"/>
      <c r="K74" s="43"/>
      <c r="L74" s="43"/>
    </row>
    <row r="75" spans="1:12" x14ac:dyDescent="0.25">
      <c r="A75" s="45" t="s">
        <v>319</v>
      </c>
      <c r="B75" s="45" t="s">
        <v>320</v>
      </c>
      <c r="C75" s="48" t="s">
        <v>163</v>
      </c>
      <c r="D75" s="43"/>
      <c r="E75" s="45" t="s">
        <v>172</v>
      </c>
      <c r="F75" s="47" t="s">
        <v>287</v>
      </c>
      <c r="G75" s="46" t="s">
        <v>159</v>
      </c>
      <c r="H75" s="167"/>
      <c r="I75" s="43"/>
      <c r="J75" s="43"/>
      <c r="K75" s="43"/>
      <c r="L75" s="43"/>
    </row>
    <row r="76" spans="1:12" x14ac:dyDescent="0.25">
      <c r="A76" s="45" t="s">
        <v>321</v>
      </c>
      <c r="B76" s="45" t="s">
        <v>178</v>
      </c>
      <c r="C76" s="51" t="s">
        <v>178</v>
      </c>
      <c r="D76" s="43"/>
      <c r="E76" s="45" t="s">
        <v>174</v>
      </c>
      <c r="F76" s="47" t="s">
        <v>289</v>
      </c>
      <c r="G76" s="48" t="s">
        <v>163</v>
      </c>
      <c r="H76" s="166"/>
      <c r="I76" s="43"/>
      <c r="J76" s="43"/>
      <c r="K76" s="43"/>
      <c r="L76" s="43"/>
    </row>
    <row r="77" spans="1:12" x14ac:dyDescent="0.25">
      <c r="A77" s="45" t="s">
        <v>322</v>
      </c>
      <c r="B77" s="45" t="s">
        <v>323</v>
      </c>
      <c r="C77" s="46" t="s">
        <v>159</v>
      </c>
      <c r="D77" s="43"/>
      <c r="E77" s="45" t="s">
        <v>177</v>
      </c>
      <c r="F77" s="47" t="s">
        <v>291</v>
      </c>
      <c r="G77" s="48" t="s">
        <v>163</v>
      </c>
      <c r="H77" s="167"/>
      <c r="I77" s="43"/>
      <c r="J77" s="43"/>
      <c r="K77" s="43"/>
      <c r="L77" s="43"/>
    </row>
    <row r="78" spans="1:12" x14ac:dyDescent="0.25">
      <c r="A78" s="45" t="s">
        <v>324</v>
      </c>
      <c r="B78" s="45" t="s">
        <v>178</v>
      </c>
      <c r="C78" s="51" t="s">
        <v>178</v>
      </c>
      <c r="D78" s="43"/>
      <c r="E78" s="45" t="s">
        <v>180</v>
      </c>
      <c r="F78" s="47" t="s">
        <v>293</v>
      </c>
      <c r="G78" s="48" t="s">
        <v>163</v>
      </c>
      <c r="H78" s="167"/>
      <c r="I78" s="43"/>
      <c r="J78" s="43"/>
      <c r="K78" s="43"/>
      <c r="L78" s="43"/>
    </row>
    <row r="79" spans="1:12" x14ac:dyDescent="0.25">
      <c r="A79" s="45" t="s">
        <v>325</v>
      </c>
      <c r="B79" s="45" t="s">
        <v>326</v>
      </c>
      <c r="C79" s="48" t="s">
        <v>163</v>
      </c>
      <c r="D79" s="43"/>
      <c r="E79" s="45" t="s">
        <v>183</v>
      </c>
      <c r="F79" s="47" t="s">
        <v>178</v>
      </c>
      <c r="G79" s="51" t="s">
        <v>178</v>
      </c>
      <c r="H79" s="167"/>
      <c r="I79" s="43"/>
      <c r="J79" s="43"/>
      <c r="K79" s="43"/>
      <c r="L79" s="43"/>
    </row>
    <row r="80" spans="1:12" x14ac:dyDescent="0.25">
      <c r="A80" s="45" t="s">
        <v>327</v>
      </c>
      <c r="B80" s="45" t="s">
        <v>178</v>
      </c>
      <c r="C80" s="51" t="s">
        <v>178</v>
      </c>
      <c r="D80" s="43"/>
      <c r="E80" s="45" t="s">
        <v>186</v>
      </c>
      <c r="F80" s="47" t="s">
        <v>178</v>
      </c>
      <c r="G80" s="51" t="s">
        <v>178</v>
      </c>
      <c r="H80" s="167"/>
      <c r="I80" s="43"/>
      <c r="J80" s="43"/>
      <c r="K80" s="43"/>
      <c r="L80" s="43"/>
    </row>
    <row r="81" spans="1:12" x14ac:dyDescent="0.25">
      <c r="A81" s="45" t="s">
        <v>328</v>
      </c>
      <c r="B81" s="45" t="s">
        <v>329</v>
      </c>
      <c r="C81" s="48" t="s">
        <v>163</v>
      </c>
      <c r="D81" s="43"/>
      <c r="E81" s="45" t="s">
        <v>189</v>
      </c>
      <c r="F81" s="47" t="s">
        <v>178</v>
      </c>
      <c r="G81" s="51" t="s">
        <v>178</v>
      </c>
      <c r="H81" s="167"/>
      <c r="I81" s="43"/>
      <c r="J81" s="43"/>
      <c r="K81" s="43"/>
      <c r="L81" s="43"/>
    </row>
    <row r="82" spans="1:12" x14ac:dyDescent="0.25">
      <c r="A82" s="45" t="s">
        <v>330</v>
      </c>
      <c r="B82" s="45" t="s">
        <v>331</v>
      </c>
      <c r="C82" s="48" t="s">
        <v>163</v>
      </c>
      <c r="D82" s="43"/>
      <c r="E82" s="45" t="s">
        <v>192</v>
      </c>
      <c r="F82" s="47" t="s">
        <v>300</v>
      </c>
      <c r="G82" s="46" t="s">
        <v>159</v>
      </c>
      <c r="H82" s="166"/>
      <c r="I82" s="43"/>
      <c r="J82" s="43"/>
      <c r="K82" s="43"/>
      <c r="L82" s="43"/>
    </row>
    <row r="83" spans="1:12" x14ac:dyDescent="0.25">
      <c r="A83" s="45" t="s">
        <v>332</v>
      </c>
      <c r="B83" s="45" t="s">
        <v>333</v>
      </c>
      <c r="C83" s="48" t="s">
        <v>163</v>
      </c>
      <c r="D83" s="43"/>
      <c r="E83" s="45" t="s">
        <v>196</v>
      </c>
      <c r="F83" s="47" t="s">
        <v>303</v>
      </c>
      <c r="G83" s="48" t="s">
        <v>163</v>
      </c>
      <c r="H83" s="166"/>
      <c r="I83" s="43"/>
      <c r="J83" s="43"/>
      <c r="K83" s="43"/>
      <c r="L83" s="43"/>
    </row>
    <row r="84" spans="1:12" x14ac:dyDescent="0.25">
      <c r="A84" s="45" t="s">
        <v>334</v>
      </c>
      <c r="B84" s="45" t="s">
        <v>178</v>
      </c>
      <c r="C84" s="51" t="s">
        <v>178</v>
      </c>
      <c r="D84" s="43"/>
      <c r="E84" s="45" t="s">
        <v>199</v>
      </c>
      <c r="F84" s="47" t="s">
        <v>178</v>
      </c>
      <c r="G84" s="51" t="s">
        <v>178</v>
      </c>
      <c r="H84" s="167"/>
      <c r="I84" s="43"/>
      <c r="J84" s="43"/>
      <c r="K84" s="43"/>
      <c r="L84" s="43"/>
    </row>
    <row r="85" spans="1:12" x14ac:dyDescent="0.25">
      <c r="A85" s="45" t="s">
        <v>335</v>
      </c>
      <c r="B85" s="45" t="s">
        <v>336</v>
      </c>
      <c r="C85" s="48" t="s">
        <v>163</v>
      </c>
      <c r="D85" s="43"/>
      <c r="E85" s="45" t="s">
        <v>202</v>
      </c>
      <c r="F85" s="47" t="s">
        <v>178</v>
      </c>
      <c r="G85" s="51" t="s">
        <v>178</v>
      </c>
      <c r="H85" s="167"/>
      <c r="I85" s="43"/>
      <c r="J85" s="43"/>
      <c r="K85" s="43"/>
      <c r="L85" s="43"/>
    </row>
    <row r="86" spans="1:12" x14ac:dyDescent="0.25">
      <c r="A86" s="45" t="s">
        <v>337</v>
      </c>
      <c r="B86" s="45" t="s">
        <v>178</v>
      </c>
      <c r="C86" s="51" t="s">
        <v>178</v>
      </c>
      <c r="D86" s="43"/>
      <c r="E86" s="45" t="s">
        <v>205</v>
      </c>
      <c r="F86" s="47" t="s">
        <v>178</v>
      </c>
      <c r="G86" s="51" t="s">
        <v>178</v>
      </c>
      <c r="H86" s="167"/>
      <c r="I86" s="43"/>
      <c r="J86" s="43"/>
      <c r="K86" s="43"/>
      <c r="L86" s="43"/>
    </row>
    <row r="87" spans="1:12" x14ac:dyDescent="0.25">
      <c r="A87" s="45" t="s">
        <v>338</v>
      </c>
      <c r="B87" s="45" t="s">
        <v>339</v>
      </c>
      <c r="C87" s="48" t="s">
        <v>163</v>
      </c>
      <c r="D87" s="43"/>
      <c r="E87" s="43"/>
      <c r="F87" s="43"/>
      <c r="G87" s="43"/>
      <c r="H87" s="167"/>
      <c r="I87" s="43"/>
      <c r="J87" s="43"/>
      <c r="K87" s="43"/>
      <c r="L87" s="43"/>
    </row>
    <row r="88" spans="1:12" x14ac:dyDescent="0.25">
      <c r="A88" s="45" t="s">
        <v>340</v>
      </c>
      <c r="B88" s="45" t="s">
        <v>178</v>
      </c>
      <c r="C88" s="51" t="s">
        <v>178</v>
      </c>
      <c r="E88" s="43"/>
      <c r="F88" s="43"/>
      <c r="G88" s="43"/>
      <c r="H88" s="167"/>
      <c r="I88" s="43"/>
      <c r="J88" s="43"/>
      <c r="K88" s="43"/>
      <c r="L88" s="43"/>
    </row>
    <row r="89" spans="1:12" x14ac:dyDescent="0.25">
      <c r="A89" s="43"/>
      <c r="B89" s="43"/>
      <c r="C89" s="43"/>
      <c r="H89" s="166"/>
      <c r="I89" s="43"/>
      <c r="J89" s="43"/>
      <c r="K89" s="43"/>
      <c r="L89" s="43"/>
    </row>
    <row r="90" spans="1:12" x14ac:dyDescent="0.25">
      <c r="A90" s="43"/>
      <c r="B90" s="43"/>
      <c r="C90" s="43"/>
      <c r="H90" s="166"/>
      <c r="I90" s="43"/>
      <c r="J90" s="43"/>
      <c r="K90" s="43"/>
      <c r="L90" s="43"/>
    </row>
    <row r="91" spans="1:12" x14ac:dyDescent="0.25">
      <c r="A91" s="43"/>
      <c r="B91" s="43"/>
      <c r="C91" s="43"/>
      <c r="E91" s="41" t="s">
        <v>341</v>
      </c>
      <c r="F91" s="41" t="s">
        <v>153</v>
      </c>
      <c r="G91" s="41" t="s">
        <v>342</v>
      </c>
      <c r="H91" s="166"/>
    </row>
    <row r="92" spans="1:12" x14ac:dyDescent="0.25">
      <c r="A92" s="43"/>
      <c r="B92" s="43"/>
      <c r="C92" s="43"/>
      <c r="E92" s="45" t="s">
        <v>157</v>
      </c>
      <c r="F92" s="47" t="s">
        <v>343</v>
      </c>
      <c r="G92" s="46" t="s">
        <v>159</v>
      </c>
      <c r="H92" s="166"/>
    </row>
    <row r="93" spans="1:12" x14ac:dyDescent="0.25">
      <c r="A93" s="43"/>
      <c r="B93" s="43"/>
      <c r="C93" s="43"/>
      <c r="E93" s="45" t="s">
        <v>161</v>
      </c>
      <c r="F93" s="47" t="s">
        <v>344</v>
      </c>
      <c r="G93" s="48" t="s">
        <v>163</v>
      </c>
      <c r="H93" s="166"/>
    </row>
    <row r="94" spans="1:12" x14ac:dyDescent="0.25">
      <c r="A94" s="43"/>
      <c r="B94" s="43"/>
      <c r="C94" s="43"/>
      <c r="E94" s="45" t="s">
        <v>165</v>
      </c>
      <c r="F94" s="47" t="s">
        <v>345</v>
      </c>
      <c r="G94" s="46" t="s">
        <v>159</v>
      </c>
      <c r="H94" s="166"/>
    </row>
    <row r="95" spans="1:12" x14ac:dyDescent="0.25">
      <c r="A95" s="43"/>
      <c r="B95" s="43"/>
      <c r="C95" s="43"/>
      <c r="E95" s="45" t="s">
        <v>169</v>
      </c>
      <c r="F95" s="47" t="s">
        <v>346</v>
      </c>
      <c r="G95" s="46" t="s">
        <v>159</v>
      </c>
      <c r="H95" s="170"/>
    </row>
    <row r="96" spans="1:12" x14ac:dyDescent="0.25">
      <c r="A96" s="43"/>
      <c r="B96" s="43"/>
      <c r="C96" s="43"/>
      <c r="E96" s="45" t="s">
        <v>172</v>
      </c>
      <c r="F96" s="47" t="s">
        <v>347</v>
      </c>
      <c r="G96" s="46" t="s">
        <v>159</v>
      </c>
      <c r="H96" s="166"/>
    </row>
    <row r="97" spans="1:8" x14ac:dyDescent="0.25">
      <c r="A97" s="43"/>
      <c r="B97" s="43"/>
      <c r="C97" s="43"/>
      <c r="E97" s="45" t="s">
        <v>174</v>
      </c>
      <c r="F97" s="47" t="s">
        <v>348</v>
      </c>
      <c r="G97" s="48" t="s">
        <v>163</v>
      </c>
      <c r="H97" s="166"/>
    </row>
    <row r="98" spans="1:8" x14ac:dyDescent="0.25">
      <c r="A98" s="43"/>
      <c r="B98" s="43"/>
      <c r="C98" s="43"/>
      <c r="E98" s="45" t="s">
        <v>177</v>
      </c>
      <c r="F98" s="47" t="s">
        <v>349</v>
      </c>
      <c r="G98" s="48" t="s">
        <v>163</v>
      </c>
      <c r="H98" s="166"/>
    </row>
    <row r="99" spans="1:8" x14ac:dyDescent="0.25">
      <c r="A99" s="43"/>
      <c r="B99" s="43"/>
      <c r="C99" s="43"/>
      <c r="E99" s="45" t="s">
        <v>180</v>
      </c>
      <c r="F99" s="47" t="s">
        <v>350</v>
      </c>
      <c r="G99" s="46" t="s">
        <v>159</v>
      </c>
      <c r="H99" s="166"/>
    </row>
    <row r="100" spans="1:8" x14ac:dyDescent="0.25">
      <c r="A100" s="43"/>
      <c r="B100" s="43"/>
      <c r="C100" s="43"/>
      <c r="E100" s="45" t="s">
        <v>183</v>
      </c>
      <c r="F100" s="47" t="s">
        <v>351</v>
      </c>
      <c r="G100" s="46" t="s">
        <v>159</v>
      </c>
      <c r="H100" s="166"/>
    </row>
    <row r="101" spans="1:8" x14ac:dyDescent="0.25">
      <c r="A101" s="43"/>
      <c r="B101" s="43"/>
      <c r="C101" s="43"/>
      <c r="E101" s="45" t="s">
        <v>186</v>
      </c>
      <c r="F101" s="47" t="s">
        <v>352</v>
      </c>
      <c r="G101" s="46" t="s">
        <v>159</v>
      </c>
      <c r="H101" s="166"/>
    </row>
    <row r="102" spans="1:8" x14ac:dyDescent="0.25">
      <c r="A102" s="43"/>
      <c r="B102" s="43"/>
      <c r="C102" s="43"/>
      <c r="E102" s="45" t="s">
        <v>189</v>
      </c>
      <c r="F102" s="47" t="s">
        <v>353</v>
      </c>
      <c r="G102" s="46" t="s">
        <v>159</v>
      </c>
      <c r="H102" s="166"/>
    </row>
    <row r="103" spans="1:8" x14ac:dyDescent="0.25">
      <c r="A103" s="43"/>
      <c r="B103" s="43"/>
      <c r="C103" s="43"/>
      <c r="E103" s="45" t="s">
        <v>192</v>
      </c>
      <c r="F103" s="47" t="s">
        <v>354</v>
      </c>
      <c r="G103" s="48" t="s">
        <v>163</v>
      </c>
      <c r="H103" s="166"/>
    </row>
    <row r="104" spans="1:8" x14ac:dyDescent="0.25">
      <c r="A104" s="43"/>
      <c r="B104" s="43"/>
      <c r="C104" s="43"/>
      <c r="E104" s="45" t="s">
        <v>196</v>
      </c>
      <c r="F104" s="47" t="s">
        <v>355</v>
      </c>
      <c r="G104" s="48" t="s">
        <v>163</v>
      </c>
      <c r="H104" s="166"/>
    </row>
    <row r="105" spans="1:8" x14ac:dyDescent="0.25">
      <c r="A105" s="43"/>
      <c r="B105" s="43"/>
      <c r="C105" s="43"/>
      <c r="E105" s="45" t="s">
        <v>199</v>
      </c>
      <c r="F105" s="47" t="s">
        <v>356</v>
      </c>
      <c r="G105" s="46" t="s">
        <v>159</v>
      </c>
      <c r="H105" s="166"/>
    </row>
    <row r="106" spans="1:8" x14ac:dyDescent="0.25">
      <c r="A106" s="43"/>
      <c r="B106" s="43"/>
      <c r="C106" s="43"/>
      <c r="E106" s="45" t="s">
        <v>202</v>
      </c>
      <c r="F106" s="47" t="s">
        <v>178</v>
      </c>
      <c r="G106" s="51" t="s">
        <v>178</v>
      </c>
      <c r="H106" s="166"/>
    </row>
    <row r="107" spans="1:8" x14ac:dyDescent="0.25">
      <c r="A107" s="43"/>
      <c r="B107" s="43"/>
      <c r="C107" s="43"/>
      <c r="E107" s="45" t="s">
        <v>205</v>
      </c>
      <c r="F107" s="47" t="s">
        <v>178</v>
      </c>
      <c r="G107" s="51" t="s">
        <v>178</v>
      </c>
      <c r="H107" s="166"/>
    </row>
    <row r="108" spans="1:8" x14ac:dyDescent="0.25">
      <c r="A108" s="43"/>
      <c r="B108" s="43"/>
      <c r="C108" s="43"/>
      <c r="E108" s="45" t="s">
        <v>207</v>
      </c>
      <c r="F108" s="47" t="s">
        <v>357</v>
      </c>
      <c r="G108" s="48" t="s">
        <v>163</v>
      </c>
      <c r="H108" s="166"/>
    </row>
    <row r="109" spans="1:8" x14ac:dyDescent="0.25">
      <c r="A109" s="43"/>
      <c r="B109" s="43"/>
      <c r="C109" s="43"/>
      <c r="E109" s="45" t="s">
        <v>209</v>
      </c>
      <c r="F109" s="47" t="s">
        <v>358</v>
      </c>
      <c r="G109" s="48" t="s">
        <v>163</v>
      </c>
      <c r="H109" s="166"/>
    </row>
    <row r="110" spans="1:8" x14ac:dyDescent="0.25">
      <c r="A110" s="43"/>
      <c r="B110" s="43"/>
      <c r="C110" s="43"/>
      <c r="E110" s="45" t="s">
        <v>211</v>
      </c>
      <c r="F110" s="47" t="s">
        <v>359</v>
      </c>
      <c r="G110" s="48" t="s">
        <v>163</v>
      </c>
      <c r="H110" s="166"/>
    </row>
    <row r="111" spans="1:8" x14ac:dyDescent="0.25">
      <c r="A111" s="43"/>
      <c r="B111" s="43"/>
      <c r="C111" s="43"/>
      <c r="E111" s="45" t="s">
        <v>212</v>
      </c>
      <c r="F111" s="47" t="s">
        <v>360</v>
      </c>
      <c r="G111" s="48" t="s">
        <v>163</v>
      </c>
      <c r="H111" s="166"/>
    </row>
    <row r="112" spans="1:8" x14ac:dyDescent="0.25">
      <c r="A112" s="43"/>
      <c r="B112" s="43"/>
      <c r="C112" s="43"/>
      <c r="E112" s="45" t="s">
        <v>214</v>
      </c>
      <c r="F112" s="47" t="s">
        <v>361</v>
      </c>
      <c r="G112" s="48" t="s">
        <v>163</v>
      </c>
      <c r="H112" s="166"/>
    </row>
    <row r="113" spans="1:8" x14ac:dyDescent="0.25">
      <c r="A113" s="43"/>
      <c r="B113" s="43"/>
      <c r="C113" s="43"/>
      <c r="E113" s="45" t="s">
        <v>216</v>
      </c>
      <c r="F113" s="47" t="s">
        <v>362</v>
      </c>
      <c r="G113" s="48" t="s">
        <v>163</v>
      </c>
      <c r="H113" s="166"/>
    </row>
    <row r="114" spans="1:8" x14ac:dyDescent="0.25">
      <c r="E114" s="45" t="s">
        <v>219</v>
      </c>
      <c r="F114" s="47" t="s">
        <v>363</v>
      </c>
      <c r="G114" s="48" t="s">
        <v>163</v>
      </c>
      <c r="H114" s="166"/>
    </row>
    <row r="115" spans="1:8" x14ac:dyDescent="0.25">
      <c r="E115" s="45" t="s">
        <v>221</v>
      </c>
      <c r="F115" s="47" t="s">
        <v>364</v>
      </c>
      <c r="G115" s="48" t="s">
        <v>163</v>
      </c>
      <c r="H115" s="166"/>
    </row>
    <row r="116" spans="1:8" x14ac:dyDescent="0.25">
      <c r="E116" s="45" t="s">
        <v>365</v>
      </c>
      <c r="F116" s="47" t="s">
        <v>178</v>
      </c>
      <c r="G116" s="51" t="s">
        <v>178</v>
      </c>
      <c r="H116" s="166"/>
    </row>
    <row r="119" spans="1:8" x14ac:dyDescent="0.25">
      <c r="E119" s="56"/>
    </row>
    <row r="121" spans="1:8" ht="15" customHeight="1" x14ac:dyDescent="0.25"/>
    <row r="122" spans="1:8" x14ac:dyDescent="0.25">
      <c r="D122" s="57"/>
    </row>
    <row r="123" spans="1:8" x14ac:dyDescent="0.25">
      <c r="D123" s="58"/>
    </row>
    <row r="124" spans="1:8" x14ac:dyDescent="0.25">
      <c r="D124" s="58"/>
    </row>
    <row r="125" spans="1:8" x14ac:dyDescent="0.25">
      <c r="D125" s="58"/>
    </row>
    <row r="126" spans="1:8" x14ac:dyDescent="0.25">
      <c r="D126" s="58"/>
    </row>
    <row r="127" spans="1:8" x14ac:dyDescent="0.25">
      <c r="D127" s="58"/>
    </row>
    <row r="128" spans="1:8" x14ac:dyDescent="0.25">
      <c r="D128" s="58"/>
    </row>
    <row r="129" spans="4:4" x14ac:dyDescent="0.25">
      <c r="D129" s="58"/>
    </row>
    <row r="130" spans="4:4" x14ac:dyDescent="0.25">
      <c r="D130" s="58"/>
    </row>
    <row r="131" spans="4:4" x14ac:dyDescent="0.25">
      <c r="D131" s="58"/>
    </row>
    <row r="132" spans="4:4" x14ac:dyDescent="0.25">
      <c r="D132" s="58"/>
    </row>
    <row r="133" spans="4:4" x14ac:dyDescent="0.25">
      <c r="D133" s="58"/>
    </row>
    <row r="134" spans="4:4" x14ac:dyDescent="0.25">
      <c r="D134" s="58"/>
    </row>
    <row r="135" spans="4:4" x14ac:dyDescent="0.25">
      <c r="D135" s="58"/>
    </row>
    <row r="136" spans="4:4" x14ac:dyDescent="0.25">
      <c r="D136" s="58"/>
    </row>
    <row r="137" spans="4:4" x14ac:dyDescent="0.25">
      <c r="D137" s="58"/>
    </row>
    <row r="138" spans="4:4" x14ac:dyDescent="0.25">
      <c r="D138" s="58"/>
    </row>
    <row r="139" spans="4:4" x14ac:dyDescent="0.25">
      <c r="D139" s="58"/>
    </row>
    <row r="140" spans="4:4" x14ac:dyDescent="0.25">
      <c r="D140" s="58"/>
    </row>
    <row r="141" spans="4:4" x14ac:dyDescent="0.25">
      <c r="D141" s="58"/>
    </row>
    <row r="142" spans="4:4" x14ac:dyDescent="0.25">
      <c r="D142" s="58"/>
    </row>
    <row r="143" spans="4:4" x14ac:dyDescent="0.25">
      <c r="D143" s="58"/>
    </row>
    <row r="144" spans="4:4" x14ac:dyDescent="0.25">
      <c r="D144" s="58"/>
    </row>
    <row r="145" spans="4:4" x14ac:dyDescent="0.25">
      <c r="D145" s="58"/>
    </row>
    <row r="146" spans="4:4" x14ac:dyDescent="0.25">
      <c r="D146" s="58"/>
    </row>
    <row r="147" spans="4:4" x14ac:dyDescent="0.25">
      <c r="D147" s="58"/>
    </row>
  </sheetData>
  <sheetProtection formatCells="0" insertHyperlinks="0" autoFilter="0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8D97-ED14-479B-8048-8F4EFE3CACA5}">
  <dimension ref="A1:J67"/>
  <sheetViews>
    <sheetView zoomScale="160" zoomScaleNormal="160" workbookViewId="0">
      <selection activeCell="D45" sqref="D45"/>
    </sheetView>
  </sheetViews>
  <sheetFormatPr defaultColWidth="9" defaultRowHeight="14.25" x14ac:dyDescent="0.2"/>
  <cols>
    <col min="1" max="1" width="38.625" style="79" customWidth="1"/>
    <col min="2" max="3" width="13" style="79" customWidth="1"/>
    <col min="4" max="4" width="14" style="79" customWidth="1"/>
    <col min="5" max="16384" width="9" style="79"/>
  </cols>
  <sheetData>
    <row r="1" spans="1:4" x14ac:dyDescent="0.2">
      <c r="A1" s="76" t="s">
        <v>366</v>
      </c>
      <c r="B1" s="77"/>
      <c r="C1" s="77"/>
      <c r="D1" s="78"/>
    </row>
    <row r="2" spans="1:4" x14ac:dyDescent="0.2">
      <c r="A2" s="80" t="s">
        <v>367</v>
      </c>
      <c r="B2" s="81" t="s">
        <v>368</v>
      </c>
      <c r="C2" s="82" t="s">
        <v>369</v>
      </c>
      <c r="D2" s="82" t="s">
        <v>370</v>
      </c>
    </row>
    <row r="3" spans="1:4" x14ac:dyDescent="0.2">
      <c r="A3" s="83" t="s">
        <v>371</v>
      </c>
      <c r="B3" s="84">
        <v>4</v>
      </c>
      <c r="C3" s="82">
        <f t="shared" ref="C3:C35" si="0">SUM(D3+B3-1)</f>
        <v>3</v>
      </c>
      <c r="D3" s="82">
        <v>0</v>
      </c>
    </row>
    <row r="4" spans="1:4" x14ac:dyDescent="0.2">
      <c r="A4" s="85" t="s">
        <v>372</v>
      </c>
      <c r="B4" s="86">
        <v>6</v>
      </c>
      <c r="C4" s="87">
        <f t="shared" si="0"/>
        <v>9</v>
      </c>
      <c r="D4" s="87">
        <f>SUM(C3+1)</f>
        <v>4</v>
      </c>
    </row>
    <row r="5" spans="1:4" x14ac:dyDescent="0.2">
      <c r="A5" s="83" t="s">
        <v>373</v>
      </c>
      <c r="B5" s="84">
        <v>0</v>
      </c>
      <c r="C5" s="82">
        <f t="shared" si="0"/>
        <v>3</v>
      </c>
      <c r="D5" s="82">
        <f>SUM(C3+1)</f>
        <v>4</v>
      </c>
    </row>
    <row r="6" spans="1:4" x14ac:dyDescent="0.2">
      <c r="A6" s="88" t="s">
        <v>374</v>
      </c>
      <c r="B6" s="89">
        <v>8</v>
      </c>
      <c r="C6" s="90">
        <f t="shared" si="0"/>
        <v>11</v>
      </c>
      <c r="D6" s="90">
        <f>SUM(C5+1)</f>
        <v>4</v>
      </c>
    </row>
    <row r="7" spans="1:4" x14ac:dyDescent="0.2">
      <c r="A7" s="91" t="s">
        <v>375</v>
      </c>
      <c r="B7" s="92">
        <v>6</v>
      </c>
      <c r="C7" s="93">
        <f t="shared" si="0"/>
        <v>17</v>
      </c>
      <c r="D7" s="94">
        <f t="shared" ref="D7:D35" si="1">SUM(C6+1)</f>
        <v>12</v>
      </c>
    </row>
    <row r="8" spans="1:4" x14ac:dyDescent="0.2">
      <c r="A8" s="95" t="s">
        <v>376</v>
      </c>
      <c r="B8" s="96">
        <v>0</v>
      </c>
      <c r="C8" s="97">
        <f t="shared" si="0"/>
        <v>17</v>
      </c>
      <c r="D8" s="98">
        <f t="shared" si="1"/>
        <v>18</v>
      </c>
    </row>
    <row r="9" spans="1:4" x14ac:dyDescent="0.2">
      <c r="A9" s="99" t="s">
        <v>377</v>
      </c>
      <c r="B9" s="100">
        <v>1</v>
      </c>
      <c r="C9" s="101">
        <f t="shared" si="0"/>
        <v>12</v>
      </c>
      <c r="D9" s="101">
        <f>SUM(C6+1)</f>
        <v>12</v>
      </c>
    </row>
    <row r="10" spans="1:4" x14ac:dyDescent="0.2">
      <c r="A10" s="102" t="s">
        <v>378</v>
      </c>
      <c r="B10" s="103">
        <v>0</v>
      </c>
      <c r="C10" s="104">
        <f t="shared" si="0"/>
        <v>12</v>
      </c>
      <c r="D10" s="103">
        <f t="shared" si="1"/>
        <v>13</v>
      </c>
    </row>
    <row r="11" spans="1:4" x14ac:dyDescent="0.2">
      <c r="A11" s="105" t="s">
        <v>379</v>
      </c>
      <c r="B11" s="103">
        <v>0</v>
      </c>
      <c r="C11" s="104">
        <f t="shared" ref="C11" si="2">SUM(D11+B11-1)</f>
        <v>12</v>
      </c>
      <c r="D11" s="103">
        <f t="shared" ref="D11:D12" si="3">SUM(C10+1)</f>
        <v>13</v>
      </c>
    </row>
    <row r="12" spans="1:4" x14ac:dyDescent="0.2">
      <c r="A12" s="107" t="s">
        <v>380</v>
      </c>
      <c r="B12" s="108">
        <v>8</v>
      </c>
      <c r="C12" s="87">
        <f t="shared" si="0"/>
        <v>20</v>
      </c>
      <c r="D12" s="109">
        <f t="shared" si="3"/>
        <v>13</v>
      </c>
    </row>
    <row r="13" spans="1:4" x14ac:dyDescent="0.2">
      <c r="A13" s="95" t="s">
        <v>381</v>
      </c>
      <c r="B13" s="104">
        <v>0</v>
      </c>
      <c r="C13" s="104">
        <f t="shared" si="0"/>
        <v>20</v>
      </c>
      <c r="D13" s="103">
        <f t="shared" si="1"/>
        <v>21</v>
      </c>
    </row>
    <row r="14" spans="1:4" x14ac:dyDescent="0.2">
      <c r="A14" s="95" t="s">
        <v>382</v>
      </c>
      <c r="B14" s="104">
        <v>0</v>
      </c>
      <c r="C14" s="104">
        <f t="shared" si="0"/>
        <v>20</v>
      </c>
      <c r="D14" s="103">
        <f t="shared" si="1"/>
        <v>21</v>
      </c>
    </row>
    <row r="15" spans="1:4" x14ac:dyDescent="0.2">
      <c r="A15" s="110" t="s">
        <v>383</v>
      </c>
      <c r="B15" s="97">
        <v>0</v>
      </c>
      <c r="C15" s="97">
        <f t="shared" si="0"/>
        <v>20</v>
      </c>
      <c r="D15" s="98">
        <f t="shared" si="1"/>
        <v>21</v>
      </c>
    </row>
    <row r="16" spans="1:4" x14ac:dyDescent="0.2">
      <c r="A16" s="105" t="s">
        <v>384</v>
      </c>
      <c r="B16" s="111">
        <v>7</v>
      </c>
      <c r="C16" s="112">
        <f t="shared" si="0"/>
        <v>18</v>
      </c>
      <c r="D16" s="112">
        <f>SUM(C6+1)</f>
        <v>12</v>
      </c>
    </row>
    <row r="17" spans="1:6" x14ac:dyDescent="0.2">
      <c r="A17" s="83" t="s">
        <v>385</v>
      </c>
      <c r="B17" s="113">
        <v>3</v>
      </c>
      <c r="C17" s="82">
        <f t="shared" si="0"/>
        <v>21</v>
      </c>
      <c r="D17" s="82">
        <f t="shared" si="1"/>
        <v>19</v>
      </c>
    </row>
    <row r="18" spans="1:6" x14ac:dyDescent="0.2">
      <c r="A18" s="83" t="s">
        <v>386</v>
      </c>
      <c r="B18" s="113">
        <v>36</v>
      </c>
      <c r="C18" s="82">
        <f t="shared" si="0"/>
        <v>57</v>
      </c>
      <c r="D18" s="82">
        <f t="shared" si="1"/>
        <v>22</v>
      </c>
    </row>
    <row r="19" spans="1:6" x14ac:dyDescent="0.2">
      <c r="A19" s="83" t="s">
        <v>387</v>
      </c>
      <c r="B19" s="113">
        <v>1</v>
      </c>
      <c r="C19" s="82">
        <f t="shared" si="0"/>
        <v>58</v>
      </c>
      <c r="D19" s="82">
        <f t="shared" si="1"/>
        <v>58</v>
      </c>
    </row>
    <row r="20" spans="1:6" x14ac:dyDescent="0.2">
      <c r="A20" s="85" t="s">
        <v>388</v>
      </c>
      <c r="B20" s="108">
        <v>1</v>
      </c>
      <c r="C20" s="87">
        <f t="shared" si="0"/>
        <v>59</v>
      </c>
      <c r="D20" s="87">
        <f t="shared" si="1"/>
        <v>59</v>
      </c>
    </row>
    <row r="21" spans="1:6" x14ac:dyDescent="0.2">
      <c r="A21" s="83" t="s">
        <v>389</v>
      </c>
      <c r="B21" s="84">
        <v>1</v>
      </c>
      <c r="C21" s="82">
        <f t="shared" si="0"/>
        <v>59</v>
      </c>
      <c r="D21" s="82">
        <f>SUM(C19+1)</f>
        <v>59</v>
      </c>
    </row>
    <row r="22" spans="1:6" x14ac:dyDescent="0.2">
      <c r="A22" s="83" t="s">
        <v>390</v>
      </c>
      <c r="B22" s="113">
        <v>2</v>
      </c>
      <c r="C22" s="82">
        <f t="shared" si="0"/>
        <v>61</v>
      </c>
      <c r="D22" s="82">
        <f t="shared" si="1"/>
        <v>60</v>
      </c>
    </row>
    <row r="23" spans="1:6" x14ac:dyDescent="0.2">
      <c r="A23" s="83" t="s">
        <v>391</v>
      </c>
      <c r="B23" s="84">
        <v>4</v>
      </c>
      <c r="C23" s="82">
        <f t="shared" si="0"/>
        <v>65</v>
      </c>
      <c r="D23" s="82">
        <f t="shared" si="1"/>
        <v>62</v>
      </c>
    </row>
    <row r="24" spans="1:6" x14ac:dyDescent="0.2">
      <c r="A24" s="88" t="s">
        <v>392</v>
      </c>
      <c r="B24" s="113">
        <v>4</v>
      </c>
      <c r="C24" s="82">
        <f t="shared" si="0"/>
        <v>69</v>
      </c>
      <c r="D24" s="82">
        <f t="shared" si="1"/>
        <v>66</v>
      </c>
    </row>
    <row r="25" spans="1:6" x14ac:dyDescent="0.2">
      <c r="A25" s="88" t="s">
        <v>393</v>
      </c>
      <c r="B25" s="114">
        <v>1</v>
      </c>
      <c r="C25" s="82">
        <f t="shared" si="0"/>
        <v>70</v>
      </c>
      <c r="D25" s="82">
        <f t="shared" si="1"/>
        <v>70</v>
      </c>
    </row>
    <row r="26" spans="1:6" x14ac:dyDescent="0.2">
      <c r="A26" s="105" t="s">
        <v>394</v>
      </c>
      <c r="B26" s="98">
        <v>0</v>
      </c>
      <c r="C26" s="98">
        <f t="shared" si="0"/>
        <v>70</v>
      </c>
      <c r="D26" s="98">
        <f t="shared" si="1"/>
        <v>71</v>
      </c>
    </row>
    <row r="27" spans="1:6" x14ac:dyDescent="0.2">
      <c r="A27" s="115" t="s">
        <v>395</v>
      </c>
      <c r="B27" s="116">
        <v>4</v>
      </c>
      <c r="C27" s="90">
        <f t="shared" si="0"/>
        <v>74</v>
      </c>
      <c r="D27" s="90">
        <f t="shared" si="1"/>
        <v>71</v>
      </c>
    </row>
    <row r="28" spans="1:6" x14ac:dyDescent="0.2">
      <c r="A28" s="95" t="s">
        <v>396</v>
      </c>
      <c r="B28" s="97">
        <v>0</v>
      </c>
      <c r="C28" s="98">
        <f t="shared" si="0"/>
        <v>74</v>
      </c>
      <c r="D28" s="98">
        <f t="shared" si="1"/>
        <v>75</v>
      </c>
    </row>
    <row r="29" spans="1:6" x14ac:dyDescent="0.2">
      <c r="A29" s="85" t="s">
        <v>397</v>
      </c>
      <c r="B29" s="117">
        <v>0</v>
      </c>
      <c r="C29" s="101">
        <f t="shared" si="0"/>
        <v>74</v>
      </c>
      <c r="D29" s="101">
        <f t="shared" si="1"/>
        <v>75</v>
      </c>
    </row>
    <row r="30" spans="1:6" x14ac:dyDescent="0.2">
      <c r="A30" s="118" t="s">
        <v>398</v>
      </c>
      <c r="B30" s="89">
        <v>1</v>
      </c>
      <c r="C30" s="90">
        <f t="shared" si="0"/>
        <v>75</v>
      </c>
      <c r="D30" s="119">
        <f>SUM(C27+1)</f>
        <v>75</v>
      </c>
      <c r="F30" s="120"/>
    </row>
    <row r="31" spans="1:6" x14ac:dyDescent="0.2">
      <c r="A31" s="110" t="s">
        <v>399</v>
      </c>
      <c r="B31" s="97">
        <v>0</v>
      </c>
      <c r="C31" s="97">
        <f t="shared" si="0"/>
        <v>75</v>
      </c>
      <c r="D31" s="98">
        <f t="shared" si="1"/>
        <v>76</v>
      </c>
    </row>
    <row r="32" spans="1:6" x14ac:dyDescent="0.2">
      <c r="A32" s="105" t="s">
        <v>400</v>
      </c>
      <c r="B32" s="112">
        <v>1</v>
      </c>
      <c r="C32" s="112">
        <f t="shared" si="0"/>
        <v>76</v>
      </c>
      <c r="D32" s="112">
        <f t="shared" si="1"/>
        <v>76</v>
      </c>
    </row>
    <row r="33" spans="1:10" x14ac:dyDescent="0.2">
      <c r="A33" s="121" t="s">
        <v>401</v>
      </c>
      <c r="B33" s="117">
        <v>0</v>
      </c>
      <c r="C33" s="101">
        <f t="shared" si="0"/>
        <v>76</v>
      </c>
      <c r="D33" s="101">
        <f t="shared" si="1"/>
        <v>77</v>
      </c>
    </row>
    <row r="34" spans="1:10" x14ac:dyDescent="0.2">
      <c r="A34" s="83" t="s">
        <v>402</v>
      </c>
      <c r="B34" s="122">
        <v>1</v>
      </c>
      <c r="C34" s="82">
        <f t="shared" si="0"/>
        <v>77</v>
      </c>
      <c r="D34" s="82">
        <f t="shared" si="1"/>
        <v>77</v>
      </c>
    </row>
    <row r="35" spans="1:10" x14ac:dyDescent="0.2">
      <c r="A35" s="83" t="s">
        <v>403</v>
      </c>
      <c r="B35" s="123">
        <v>4</v>
      </c>
      <c r="C35" s="82">
        <f t="shared" si="0"/>
        <v>81</v>
      </c>
      <c r="D35" s="82">
        <f t="shared" si="1"/>
        <v>78</v>
      </c>
      <c r="J35" s="124"/>
    </row>
    <row r="36" spans="1:10" x14ac:dyDescent="0.2">
      <c r="A36" s="83" t="s">
        <v>404</v>
      </c>
      <c r="B36" s="123">
        <v>4</v>
      </c>
      <c r="C36" s="82">
        <f t="shared" ref="C36:C44" si="4">SUM(D36+B36-1)</f>
        <v>85</v>
      </c>
      <c r="D36" s="82">
        <f t="shared" ref="D36:D45" si="5">SUM(C35+1)</f>
        <v>82</v>
      </c>
      <c r="J36" s="124"/>
    </row>
    <row r="37" spans="1:10" x14ac:dyDescent="0.2">
      <c r="A37" s="85" t="s">
        <v>405</v>
      </c>
      <c r="B37" s="125">
        <v>0</v>
      </c>
      <c r="C37" s="87">
        <f t="shared" si="4"/>
        <v>85</v>
      </c>
      <c r="D37" s="87">
        <f t="shared" si="5"/>
        <v>86</v>
      </c>
      <c r="J37" s="124"/>
    </row>
    <row r="38" spans="1:10" x14ac:dyDescent="0.2">
      <c r="A38" s="85" t="s">
        <v>406</v>
      </c>
      <c r="B38" s="125">
        <v>0</v>
      </c>
      <c r="C38" s="87">
        <f t="shared" si="4"/>
        <v>85</v>
      </c>
      <c r="D38" s="87">
        <f t="shared" si="5"/>
        <v>86</v>
      </c>
      <c r="J38" s="124"/>
    </row>
    <row r="39" spans="1:10" x14ac:dyDescent="0.2">
      <c r="A39" s="83" t="s">
        <v>407</v>
      </c>
      <c r="B39" s="123">
        <v>1</v>
      </c>
      <c r="C39" s="82">
        <f t="shared" si="4"/>
        <v>86</v>
      </c>
      <c r="D39" s="82">
        <f t="shared" si="5"/>
        <v>86</v>
      </c>
      <c r="J39" s="124"/>
    </row>
    <row r="40" spans="1:10" x14ac:dyDescent="0.2">
      <c r="A40" s="85" t="s">
        <v>408</v>
      </c>
      <c r="B40" s="125">
        <v>0</v>
      </c>
      <c r="C40" s="87">
        <f t="shared" si="4"/>
        <v>86</v>
      </c>
      <c r="D40" s="87">
        <f t="shared" si="5"/>
        <v>87</v>
      </c>
      <c r="J40" s="124"/>
    </row>
    <row r="41" spans="1:10" x14ac:dyDescent="0.2">
      <c r="A41" s="85" t="s">
        <v>409</v>
      </c>
      <c r="B41" s="125">
        <v>0</v>
      </c>
      <c r="C41" s="87">
        <f t="shared" si="4"/>
        <v>86</v>
      </c>
      <c r="D41" s="87">
        <f t="shared" si="5"/>
        <v>87</v>
      </c>
      <c r="J41" s="124"/>
    </row>
    <row r="42" spans="1:10" x14ac:dyDescent="0.2">
      <c r="A42" s="85" t="s">
        <v>410</v>
      </c>
      <c r="B42" s="125">
        <v>0</v>
      </c>
      <c r="C42" s="87">
        <f t="shared" si="4"/>
        <v>86</v>
      </c>
      <c r="D42" s="87">
        <f t="shared" si="5"/>
        <v>87</v>
      </c>
      <c r="J42" s="124"/>
    </row>
    <row r="43" spans="1:10" x14ac:dyDescent="0.2">
      <c r="A43" s="85" t="s">
        <v>411</v>
      </c>
      <c r="B43" s="125">
        <v>0</v>
      </c>
      <c r="C43" s="87">
        <f t="shared" si="4"/>
        <v>86</v>
      </c>
      <c r="D43" s="87">
        <f t="shared" si="5"/>
        <v>87</v>
      </c>
      <c r="E43" s="126"/>
      <c r="J43" s="124"/>
    </row>
    <row r="44" spans="1:10" x14ac:dyDescent="0.2">
      <c r="A44" s="83" t="s">
        <v>412</v>
      </c>
      <c r="B44" s="123">
        <v>4</v>
      </c>
      <c r="C44" s="82">
        <f t="shared" si="4"/>
        <v>90</v>
      </c>
      <c r="D44" s="82">
        <f t="shared" si="5"/>
        <v>87</v>
      </c>
    </row>
    <row r="45" spans="1:10" x14ac:dyDescent="0.2">
      <c r="D45" s="82">
        <f t="shared" si="5"/>
        <v>91</v>
      </c>
    </row>
    <row r="59" spans="1:1" x14ac:dyDescent="0.2">
      <c r="A59" s="127"/>
    </row>
    <row r="60" spans="1:1" x14ac:dyDescent="0.2">
      <c r="A60" s="127"/>
    </row>
    <row r="67" spans="1:1" x14ac:dyDescent="0.2">
      <c r="A67" s="127"/>
    </row>
  </sheetData>
  <sheetProtection formatCells="0" insertHyperlinks="0" autoFilter="0"/>
  <mergeCells count="1">
    <mergeCell ref="A1:D1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E7C7-7CBB-410E-BA87-F58893B4F054}">
  <dimension ref="A1:D45"/>
  <sheetViews>
    <sheetView zoomScale="130" zoomScaleNormal="130" workbookViewId="0">
      <selection activeCell="E1" sqref="E1:G1048576"/>
    </sheetView>
  </sheetViews>
  <sheetFormatPr defaultColWidth="9" defaultRowHeight="14.25" x14ac:dyDescent="0.2"/>
  <cols>
    <col min="1" max="1" width="14.875" style="79" customWidth="1"/>
    <col min="2" max="16384" width="9" style="79"/>
  </cols>
  <sheetData>
    <row r="1" spans="1:4" x14ac:dyDescent="0.2">
      <c r="A1" s="76" t="s">
        <v>413</v>
      </c>
      <c r="B1" s="77"/>
      <c r="C1" s="77"/>
      <c r="D1" s="78"/>
    </row>
    <row r="2" spans="1:4" x14ac:dyDescent="0.2">
      <c r="A2" s="80" t="s">
        <v>367</v>
      </c>
      <c r="B2" s="81" t="s">
        <v>368</v>
      </c>
      <c r="C2" s="82" t="s">
        <v>369</v>
      </c>
      <c r="D2" s="82" t="s">
        <v>370</v>
      </c>
    </row>
    <row r="3" spans="1:4" x14ac:dyDescent="0.2">
      <c r="A3" s="128" t="s">
        <v>371</v>
      </c>
      <c r="B3" s="129">
        <v>4</v>
      </c>
      <c r="C3" s="87">
        <f>SUM(D3+B3-1)</f>
        <v>3</v>
      </c>
      <c r="D3" s="87">
        <v>0</v>
      </c>
    </row>
    <row r="4" spans="1:4" x14ac:dyDescent="0.2">
      <c r="A4" s="130" t="s">
        <v>372</v>
      </c>
      <c r="B4" s="113">
        <v>6</v>
      </c>
      <c r="C4" s="82">
        <f>SUM(D4+B4-1)</f>
        <v>5</v>
      </c>
      <c r="D4" s="82">
        <v>0</v>
      </c>
    </row>
    <row r="5" spans="1:4" x14ac:dyDescent="0.2">
      <c r="A5" s="128" t="s">
        <v>373</v>
      </c>
      <c r="B5" s="129">
        <v>0</v>
      </c>
      <c r="C5" s="87">
        <f>SUM(D5+B5-1)</f>
        <v>5</v>
      </c>
      <c r="D5" s="87">
        <f>SUM(C4+1)</f>
        <v>6</v>
      </c>
    </row>
    <row r="6" spans="1:4" x14ac:dyDescent="0.2">
      <c r="A6" s="130" t="s">
        <v>374</v>
      </c>
      <c r="B6" s="113">
        <v>8</v>
      </c>
      <c r="C6" s="82">
        <f>SUM(D6+B6-1)</f>
        <v>13</v>
      </c>
      <c r="D6" s="82">
        <f>SUM(C5+1)</f>
        <v>6</v>
      </c>
    </row>
    <row r="7" spans="1:4" x14ac:dyDescent="0.2">
      <c r="A7" s="130" t="s">
        <v>384</v>
      </c>
      <c r="B7" s="113">
        <v>5</v>
      </c>
      <c r="C7" s="82">
        <f>SUM(D7+B7-1)</f>
        <v>18</v>
      </c>
      <c r="D7" s="82">
        <f t="shared" ref="D7:D18" si="0">SUM(C6+1)</f>
        <v>14</v>
      </c>
    </row>
    <row r="8" spans="1:4" x14ac:dyDescent="0.2">
      <c r="A8" s="130" t="s">
        <v>414</v>
      </c>
      <c r="B8" s="113">
        <v>2</v>
      </c>
      <c r="C8" s="82">
        <f t="shared" ref="C8:C20" si="1">SUM(D8+B8-1)</f>
        <v>20</v>
      </c>
      <c r="D8" s="82">
        <f t="shared" si="0"/>
        <v>19</v>
      </c>
    </row>
    <row r="9" spans="1:4" x14ac:dyDescent="0.2">
      <c r="A9" s="131" t="s">
        <v>415</v>
      </c>
      <c r="B9" s="89">
        <v>3</v>
      </c>
      <c r="C9" s="90">
        <f t="shared" si="1"/>
        <v>23</v>
      </c>
      <c r="D9" s="90">
        <f t="shared" si="0"/>
        <v>21</v>
      </c>
    </row>
    <row r="10" spans="1:4" x14ac:dyDescent="0.2">
      <c r="A10" s="132" t="s">
        <v>416</v>
      </c>
      <c r="B10" s="133">
        <v>3</v>
      </c>
      <c r="C10" s="93">
        <f t="shared" si="1"/>
        <v>26</v>
      </c>
      <c r="D10" s="94">
        <f t="shared" si="0"/>
        <v>24</v>
      </c>
    </row>
    <row r="11" spans="1:4" x14ac:dyDescent="0.2">
      <c r="A11" s="134" t="s">
        <v>417</v>
      </c>
      <c r="B11" s="97">
        <v>0</v>
      </c>
      <c r="C11" s="97">
        <f t="shared" si="1"/>
        <v>26</v>
      </c>
      <c r="D11" s="98">
        <f t="shared" si="0"/>
        <v>27</v>
      </c>
    </row>
    <row r="12" spans="1:4" x14ac:dyDescent="0.2">
      <c r="A12" s="135" t="s">
        <v>418</v>
      </c>
      <c r="B12" s="136">
        <v>3</v>
      </c>
      <c r="C12" s="137">
        <f t="shared" si="1"/>
        <v>29</v>
      </c>
      <c r="D12" s="137">
        <f t="shared" si="0"/>
        <v>27</v>
      </c>
    </row>
    <row r="13" spans="1:4" x14ac:dyDescent="0.2">
      <c r="A13" s="135" t="s">
        <v>419</v>
      </c>
      <c r="B13" s="136">
        <v>8</v>
      </c>
      <c r="C13" s="137">
        <f t="shared" si="1"/>
        <v>34</v>
      </c>
      <c r="D13" s="137">
        <f>SUM(C10+1)</f>
        <v>27</v>
      </c>
    </row>
    <row r="14" spans="1:4" x14ac:dyDescent="0.2">
      <c r="A14" s="139" t="s">
        <v>420</v>
      </c>
      <c r="B14" s="140">
        <v>0</v>
      </c>
      <c r="C14" s="141">
        <f t="shared" si="1"/>
        <v>34</v>
      </c>
      <c r="D14" s="142">
        <f t="shared" si="0"/>
        <v>35</v>
      </c>
    </row>
    <row r="15" spans="1:4" x14ac:dyDescent="0.2">
      <c r="A15" s="143" t="s">
        <v>397</v>
      </c>
      <c r="B15" s="144">
        <v>0</v>
      </c>
      <c r="C15" s="145">
        <f t="shared" si="1"/>
        <v>34</v>
      </c>
      <c r="D15" s="103">
        <f t="shared" si="0"/>
        <v>35</v>
      </c>
    </row>
    <row r="16" spans="1:4" x14ac:dyDescent="0.2">
      <c r="A16" s="134" t="s">
        <v>421</v>
      </c>
      <c r="B16" s="146">
        <v>0</v>
      </c>
      <c r="C16" s="147">
        <f t="shared" si="1"/>
        <v>34</v>
      </c>
      <c r="D16" s="98">
        <f t="shared" si="0"/>
        <v>35</v>
      </c>
    </row>
    <row r="17" spans="1:4" x14ac:dyDescent="0.2">
      <c r="A17" s="148" t="s">
        <v>391</v>
      </c>
      <c r="B17" s="149">
        <v>4</v>
      </c>
      <c r="C17" s="101">
        <f t="shared" si="1"/>
        <v>38</v>
      </c>
      <c r="D17" s="101">
        <f t="shared" si="0"/>
        <v>35</v>
      </c>
    </row>
    <row r="18" spans="1:4" x14ac:dyDescent="0.2">
      <c r="A18" s="128" t="s">
        <v>401</v>
      </c>
      <c r="B18" s="129">
        <v>0</v>
      </c>
      <c r="C18" s="87">
        <f t="shared" si="1"/>
        <v>38</v>
      </c>
      <c r="D18" s="87">
        <f t="shared" si="0"/>
        <v>39</v>
      </c>
    </row>
    <row r="19" spans="1:4" x14ac:dyDescent="0.2">
      <c r="A19" s="128" t="s">
        <v>402</v>
      </c>
      <c r="B19" s="129">
        <v>1</v>
      </c>
      <c r="C19" s="87">
        <f t="shared" si="1"/>
        <v>35</v>
      </c>
      <c r="D19" s="87">
        <f>SUM(C13+1)</f>
        <v>35</v>
      </c>
    </row>
    <row r="20" spans="1:4" x14ac:dyDescent="0.2">
      <c r="A20" s="150" t="s">
        <v>422</v>
      </c>
      <c r="B20" s="84">
        <v>1</v>
      </c>
      <c r="C20" s="122">
        <f t="shared" si="1"/>
        <v>24</v>
      </c>
      <c r="D20" s="122">
        <f>SUM(C9+1)</f>
        <v>24</v>
      </c>
    </row>
    <row r="21" spans="1:4" x14ac:dyDescent="0.2">
      <c r="D21" s="82">
        <f>SUM(C20+1)</f>
        <v>25</v>
      </c>
    </row>
    <row r="24" spans="1:4" x14ac:dyDescent="0.2">
      <c r="A24" s="76" t="s">
        <v>423</v>
      </c>
      <c r="B24" s="77"/>
      <c r="C24" s="77"/>
      <c r="D24" s="78"/>
    </row>
    <row r="25" spans="1:4" x14ac:dyDescent="0.2">
      <c r="A25" s="80" t="s">
        <v>367</v>
      </c>
      <c r="B25" s="81" t="s">
        <v>368</v>
      </c>
      <c r="C25" s="82" t="s">
        <v>369</v>
      </c>
      <c r="D25" s="82" t="s">
        <v>370</v>
      </c>
    </row>
    <row r="26" spans="1:4" x14ac:dyDescent="0.2">
      <c r="A26" s="128" t="s">
        <v>371</v>
      </c>
      <c r="B26" s="129">
        <v>4</v>
      </c>
      <c r="C26" s="87">
        <f>SUM(D26+B26-1)</f>
        <v>3</v>
      </c>
      <c r="D26" s="87">
        <v>0</v>
      </c>
    </row>
    <row r="27" spans="1:4" x14ac:dyDescent="0.2">
      <c r="A27" s="128" t="s">
        <v>372</v>
      </c>
      <c r="B27" s="129">
        <v>6</v>
      </c>
      <c r="C27" s="87">
        <f>SUM(D27+B27-1)</f>
        <v>5</v>
      </c>
      <c r="D27" s="87">
        <v>0</v>
      </c>
    </row>
    <row r="28" spans="1:4" x14ac:dyDescent="0.2">
      <c r="A28" s="130" t="s">
        <v>373</v>
      </c>
      <c r="B28" s="113">
        <v>6</v>
      </c>
      <c r="C28" s="82">
        <f>SUM(D28+B28-1)</f>
        <v>5</v>
      </c>
      <c r="D28" s="82">
        <v>0</v>
      </c>
    </row>
    <row r="29" spans="1:4" x14ac:dyDescent="0.2">
      <c r="A29" s="130" t="s">
        <v>374</v>
      </c>
      <c r="B29" s="113">
        <v>8</v>
      </c>
      <c r="C29" s="82">
        <f>SUM(D29+B29-1)</f>
        <v>13</v>
      </c>
      <c r="D29" s="82">
        <f>SUM(C28+1)</f>
        <v>6</v>
      </c>
    </row>
    <row r="30" spans="1:4" x14ac:dyDescent="0.2">
      <c r="A30" s="130" t="s">
        <v>384</v>
      </c>
      <c r="B30" s="113">
        <v>5</v>
      </c>
      <c r="C30" s="82">
        <f>SUM(D30+B30-1)</f>
        <v>18</v>
      </c>
      <c r="D30" s="82">
        <f t="shared" ref="D30:D35" si="2">SUM(C29+1)</f>
        <v>14</v>
      </c>
    </row>
    <row r="31" spans="1:4" x14ac:dyDescent="0.2">
      <c r="A31" s="130" t="s">
        <v>414</v>
      </c>
      <c r="B31" s="113">
        <v>2</v>
      </c>
      <c r="C31" s="82">
        <f t="shared" ref="C31:C44" si="3">SUM(D31+B31-1)</f>
        <v>20</v>
      </c>
      <c r="D31" s="82">
        <f t="shared" si="2"/>
        <v>19</v>
      </c>
    </row>
    <row r="32" spans="1:4" x14ac:dyDescent="0.2">
      <c r="A32" s="131" t="s">
        <v>415</v>
      </c>
      <c r="B32" s="89">
        <v>3</v>
      </c>
      <c r="C32" s="90">
        <f t="shared" si="3"/>
        <v>23</v>
      </c>
      <c r="D32" s="90">
        <f t="shared" si="2"/>
        <v>21</v>
      </c>
    </row>
    <row r="33" spans="1:4" x14ac:dyDescent="0.2">
      <c r="A33" s="139" t="s">
        <v>416</v>
      </c>
      <c r="B33" s="89">
        <v>3</v>
      </c>
      <c r="C33" s="90">
        <f t="shared" si="3"/>
        <v>26</v>
      </c>
      <c r="D33" s="119">
        <f t="shared" si="2"/>
        <v>24</v>
      </c>
    </row>
    <row r="34" spans="1:4" x14ac:dyDescent="0.2">
      <c r="A34" s="134" t="s">
        <v>417</v>
      </c>
      <c r="B34" s="97">
        <v>0</v>
      </c>
      <c r="C34" s="97">
        <f t="shared" si="3"/>
        <v>26</v>
      </c>
      <c r="D34" s="98">
        <f t="shared" si="2"/>
        <v>27</v>
      </c>
    </row>
    <row r="35" spans="1:4" x14ac:dyDescent="0.2">
      <c r="A35" s="135" t="s">
        <v>418</v>
      </c>
      <c r="B35" s="136">
        <v>3</v>
      </c>
      <c r="C35" s="137">
        <f t="shared" si="3"/>
        <v>29</v>
      </c>
      <c r="D35" s="137">
        <f t="shared" si="2"/>
        <v>27</v>
      </c>
    </row>
    <row r="36" spans="1:4" x14ac:dyDescent="0.2">
      <c r="A36" s="131" t="s">
        <v>419</v>
      </c>
      <c r="B36" s="151">
        <v>8</v>
      </c>
      <c r="C36" s="152">
        <f t="shared" si="3"/>
        <v>34</v>
      </c>
      <c r="D36" s="152">
        <f>SUM(C33+1)</f>
        <v>27</v>
      </c>
    </row>
    <row r="37" spans="1:4" x14ac:dyDescent="0.2">
      <c r="A37" s="139" t="s">
        <v>420</v>
      </c>
      <c r="B37" s="140">
        <v>0</v>
      </c>
      <c r="C37" s="141">
        <f t="shared" si="3"/>
        <v>34</v>
      </c>
      <c r="D37" s="142">
        <f t="shared" ref="D37:D42" si="4">SUM(C36+1)</f>
        <v>35</v>
      </c>
    </row>
    <row r="38" spans="1:4" x14ac:dyDescent="0.2">
      <c r="A38" s="143" t="s">
        <v>397</v>
      </c>
      <c r="B38" s="144">
        <v>0</v>
      </c>
      <c r="C38" s="145">
        <f t="shared" si="3"/>
        <v>34</v>
      </c>
      <c r="D38" s="103">
        <f t="shared" si="4"/>
        <v>35</v>
      </c>
    </row>
    <row r="39" spans="1:4" x14ac:dyDescent="0.2">
      <c r="A39" s="134" t="s">
        <v>421</v>
      </c>
      <c r="B39" s="146">
        <v>0</v>
      </c>
      <c r="C39" s="147">
        <f t="shared" si="3"/>
        <v>34</v>
      </c>
      <c r="D39" s="98">
        <f t="shared" si="4"/>
        <v>35</v>
      </c>
    </row>
    <row r="40" spans="1:4" x14ac:dyDescent="0.2">
      <c r="A40" s="153" t="s">
        <v>391</v>
      </c>
      <c r="B40" s="111">
        <v>4</v>
      </c>
      <c r="C40" s="112">
        <f t="shared" si="3"/>
        <v>38</v>
      </c>
      <c r="D40" s="112">
        <f t="shared" si="4"/>
        <v>35</v>
      </c>
    </row>
    <row r="41" spans="1:4" x14ac:dyDescent="0.2">
      <c r="A41" s="128" t="s">
        <v>401</v>
      </c>
      <c r="B41" s="129">
        <v>0</v>
      </c>
      <c r="C41" s="87">
        <f t="shared" si="3"/>
        <v>38</v>
      </c>
      <c r="D41" s="87">
        <f t="shared" si="4"/>
        <v>39</v>
      </c>
    </row>
    <row r="42" spans="1:4" x14ac:dyDescent="0.2">
      <c r="A42" s="130" t="s">
        <v>402</v>
      </c>
      <c r="B42" s="113">
        <v>1</v>
      </c>
      <c r="C42" s="82">
        <f t="shared" si="3"/>
        <v>39</v>
      </c>
      <c r="D42" s="82">
        <f t="shared" si="4"/>
        <v>39</v>
      </c>
    </row>
    <row r="43" spans="1:4" x14ac:dyDescent="0.2">
      <c r="A43" s="150" t="s">
        <v>127</v>
      </c>
      <c r="B43" s="84">
        <v>1</v>
      </c>
      <c r="C43" s="122">
        <f t="shared" si="3"/>
        <v>40</v>
      </c>
      <c r="D43" s="122">
        <f t="shared" ref="D43:D45" si="5">SUM(C42+1)</f>
        <v>40</v>
      </c>
    </row>
    <row r="44" spans="1:4" x14ac:dyDescent="0.2">
      <c r="A44" s="150" t="s">
        <v>424</v>
      </c>
      <c r="B44" s="84">
        <v>1</v>
      </c>
      <c r="C44" s="122">
        <f t="shared" si="3"/>
        <v>41</v>
      </c>
      <c r="D44" s="122">
        <f t="shared" si="5"/>
        <v>41</v>
      </c>
    </row>
    <row r="45" spans="1:4" x14ac:dyDescent="0.2">
      <c r="D45" s="82">
        <f t="shared" si="5"/>
        <v>42</v>
      </c>
    </row>
  </sheetData>
  <sheetProtection formatCells="0" insertHyperlinks="0" autoFilter="0"/>
  <mergeCells count="2">
    <mergeCell ref="A1:D1"/>
    <mergeCell ref="A24:D24"/>
  </mergeCells>
  <phoneticPr fontId="2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4A6C8-434A-4762-BC63-83B4005305CF}">
  <dimension ref="A1:D21"/>
  <sheetViews>
    <sheetView tabSelected="1" zoomScale="130" zoomScaleNormal="130" workbookViewId="0">
      <selection activeCell="I22" sqref="I22"/>
    </sheetView>
  </sheetViews>
  <sheetFormatPr defaultColWidth="9" defaultRowHeight="14.25" x14ac:dyDescent="0.2"/>
  <cols>
    <col min="1" max="1" width="12" style="79" customWidth="1"/>
    <col min="2" max="3" width="13" style="79" customWidth="1"/>
    <col min="4" max="4" width="14" style="79" customWidth="1"/>
    <col min="5" max="16384" width="9" style="79"/>
  </cols>
  <sheetData>
    <row r="1" spans="1:4" x14ac:dyDescent="0.2">
      <c r="A1" s="76" t="s">
        <v>425</v>
      </c>
      <c r="B1" s="77"/>
      <c r="C1" s="77"/>
      <c r="D1" s="78"/>
    </row>
    <row r="2" spans="1:4" x14ac:dyDescent="0.2">
      <c r="A2" s="81" t="s">
        <v>367</v>
      </c>
      <c r="B2" s="81" t="s">
        <v>368</v>
      </c>
      <c r="C2" s="82" t="s">
        <v>369</v>
      </c>
      <c r="D2" s="82" t="s">
        <v>370</v>
      </c>
    </row>
    <row r="3" spans="1:4" x14ac:dyDescent="0.2">
      <c r="A3" s="128" t="s">
        <v>371</v>
      </c>
      <c r="B3" s="129">
        <v>4</v>
      </c>
      <c r="C3" s="87">
        <f>SUM(D3+B3-1)</f>
        <v>3</v>
      </c>
      <c r="D3" s="87">
        <v>0</v>
      </c>
    </row>
    <row r="4" spans="1:4" x14ac:dyDescent="0.2">
      <c r="A4" s="130" t="s">
        <v>373</v>
      </c>
      <c r="B4" s="113">
        <v>6</v>
      </c>
      <c r="C4" s="82">
        <f t="shared" ref="C4:C20" si="0">SUM(D4+B4-1)</f>
        <v>5</v>
      </c>
      <c r="D4" s="82">
        <v>0</v>
      </c>
    </row>
    <row r="5" spans="1:4" x14ac:dyDescent="0.2">
      <c r="A5" s="130" t="s">
        <v>374</v>
      </c>
      <c r="B5" s="113">
        <v>8</v>
      </c>
      <c r="C5" s="82">
        <f t="shared" si="0"/>
        <v>13</v>
      </c>
      <c r="D5" s="82">
        <f>SUM(C4+1)</f>
        <v>6</v>
      </c>
    </row>
    <row r="6" spans="1:4" x14ac:dyDescent="0.2">
      <c r="A6" s="131" t="s">
        <v>426</v>
      </c>
      <c r="B6" s="89">
        <v>6</v>
      </c>
      <c r="C6" s="90">
        <f t="shared" si="0"/>
        <v>19</v>
      </c>
      <c r="D6" s="90">
        <f>SUM(C5+1)</f>
        <v>14</v>
      </c>
    </row>
    <row r="7" spans="1:4" x14ac:dyDescent="0.2">
      <c r="A7" s="139" t="s">
        <v>427</v>
      </c>
      <c r="B7" s="89">
        <v>8</v>
      </c>
      <c r="C7" s="90">
        <f t="shared" si="0"/>
        <v>27</v>
      </c>
      <c r="D7" s="119">
        <f t="shared" ref="D7:D20" si="1">SUM(C6+1)</f>
        <v>20</v>
      </c>
    </row>
    <row r="8" spans="1:4" x14ac:dyDescent="0.2">
      <c r="A8" s="143" t="s">
        <v>428</v>
      </c>
      <c r="B8" s="104">
        <v>0</v>
      </c>
      <c r="C8" s="104">
        <f t="shared" si="0"/>
        <v>27</v>
      </c>
      <c r="D8" s="103">
        <f t="shared" si="1"/>
        <v>28</v>
      </c>
    </row>
    <row r="9" spans="1:4" x14ac:dyDescent="0.2">
      <c r="A9" s="143" t="s">
        <v>382</v>
      </c>
      <c r="B9" s="104">
        <v>0</v>
      </c>
      <c r="C9" s="104">
        <f t="shared" si="0"/>
        <v>27</v>
      </c>
      <c r="D9" s="103">
        <f t="shared" si="1"/>
        <v>28</v>
      </c>
    </row>
    <row r="10" spans="1:4" x14ac:dyDescent="0.2">
      <c r="A10" s="143" t="s">
        <v>383</v>
      </c>
      <c r="B10" s="104">
        <v>0</v>
      </c>
      <c r="C10" s="104">
        <f t="shared" si="0"/>
        <v>27</v>
      </c>
      <c r="D10" s="103">
        <f t="shared" si="1"/>
        <v>28</v>
      </c>
    </row>
    <row r="11" spans="1:4" x14ac:dyDescent="0.2">
      <c r="A11" s="154" t="s">
        <v>429</v>
      </c>
      <c r="B11" s="146">
        <v>0</v>
      </c>
      <c r="C11" s="146" t="e">
        <f t="shared" si="0"/>
        <v>#REF!</v>
      </c>
      <c r="D11" s="97" t="e">
        <f>SUM(#REF!+1)</f>
        <v>#REF!</v>
      </c>
    </row>
    <row r="12" spans="1:4" x14ac:dyDescent="0.2">
      <c r="A12" s="153" t="s">
        <v>384</v>
      </c>
      <c r="B12" s="155">
        <v>5</v>
      </c>
      <c r="C12" s="112">
        <f t="shared" si="0"/>
        <v>32</v>
      </c>
      <c r="D12" s="112">
        <f>SUM(C7+1)</f>
        <v>28</v>
      </c>
    </row>
    <row r="13" spans="1:4" x14ac:dyDescent="0.2">
      <c r="A13" s="130" t="s">
        <v>386</v>
      </c>
      <c r="B13" s="113">
        <v>33</v>
      </c>
      <c r="C13" s="82">
        <f t="shared" si="0"/>
        <v>65</v>
      </c>
      <c r="D13" s="82">
        <f t="shared" si="1"/>
        <v>33</v>
      </c>
    </row>
    <row r="14" spans="1:4" x14ac:dyDescent="0.2">
      <c r="A14" s="131" t="s">
        <v>387</v>
      </c>
      <c r="B14" s="89">
        <v>1</v>
      </c>
      <c r="C14" s="90">
        <f t="shared" si="0"/>
        <v>66</v>
      </c>
      <c r="D14" s="90">
        <f t="shared" si="1"/>
        <v>66</v>
      </c>
    </row>
    <row r="15" spans="1:4" x14ac:dyDescent="0.2">
      <c r="A15" s="132" t="s">
        <v>430</v>
      </c>
      <c r="B15" s="133">
        <v>1</v>
      </c>
      <c r="C15" s="93">
        <f t="shared" si="0"/>
        <v>67</v>
      </c>
      <c r="D15" s="94">
        <f t="shared" si="1"/>
        <v>67</v>
      </c>
    </row>
    <row r="16" spans="1:4" x14ac:dyDescent="0.2">
      <c r="A16" s="134" t="s">
        <v>431</v>
      </c>
      <c r="B16" s="97">
        <v>0</v>
      </c>
      <c r="C16" s="97">
        <f t="shared" si="0"/>
        <v>67</v>
      </c>
      <c r="D16" s="98">
        <f t="shared" si="1"/>
        <v>68</v>
      </c>
    </row>
    <row r="17" spans="1:4" x14ac:dyDescent="0.2">
      <c r="A17" s="148" t="s">
        <v>432</v>
      </c>
      <c r="B17" s="149">
        <v>1</v>
      </c>
      <c r="C17" s="101">
        <f t="shared" si="0"/>
        <v>67</v>
      </c>
      <c r="D17" s="101">
        <f>SUM(C14+1)</f>
        <v>67</v>
      </c>
    </row>
    <row r="18" spans="1:4" x14ac:dyDescent="0.2">
      <c r="A18" s="128" t="s">
        <v>402</v>
      </c>
      <c r="B18" s="129">
        <v>1</v>
      </c>
      <c r="C18" s="87">
        <f t="shared" si="0"/>
        <v>67</v>
      </c>
      <c r="D18" s="87">
        <f>SUM(C14+1)</f>
        <v>67</v>
      </c>
    </row>
    <row r="19" spans="1:4" x14ac:dyDescent="0.2">
      <c r="A19" s="128" t="s">
        <v>403</v>
      </c>
      <c r="B19" s="129">
        <v>0</v>
      </c>
      <c r="C19" s="87">
        <f t="shared" si="0"/>
        <v>67</v>
      </c>
      <c r="D19" s="87">
        <f t="shared" si="1"/>
        <v>68</v>
      </c>
    </row>
    <row r="20" spans="1:4" x14ac:dyDescent="0.2">
      <c r="A20" s="156" t="s">
        <v>404</v>
      </c>
      <c r="B20" s="129">
        <v>0</v>
      </c>
      <c r="C20" s="87">
        <f t="shared" si="0"/>
        <v>67</v>
      </c>
      <c r="D20" s="87">
        <f t="shared" si="1"/>
        <v>68</v>
      </c>
    </row>
    <row r="21" spans="1:4" x14ac:dyDescent="0.2">
      <c r="B21" s="157"/>
      <c r="D21" s="82">
        <f>SUM(C14+1)</f>
        <v>67</v>
      </c>
    </row>
  </sheetData>
  <sheetProtection formatCells="0" insertHyperlinks="0" autoFilter="0"/>
  <mergeCells count="1">
    <mergeCell ref="A1:D1"/>
  </mergeCells>
  <phoneticPr fontId="2" type="noConversion"/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DE59-DC55-498A-80BA-0A3139892209}">
  <dimension ref="A1:L96"/>
  <sheetViews>
    <sheetView topLeftCell="A22" zoomScale="160" zoomScaleNormal="160" workbookViewId="0">
      <selection activeCell="H92" sqref="H92"/>
    </sheetView>
  </sheetViews>
  <sheetFormatPr defaultColWidth="9" defaultRowHeight="14.25" x14ac:dyDescent="0.2"/>
  <cols>
    <col min="1" max="1" width="16" style="79" customWidth="1"/>
    <col min="2" max="3" width="13" style="79" customWidth="1"/>
    <col min="4" max="4" width="14" style="79" customWidth="1"/>
    <col min="5" max="5" width="9" style="176"/>
    <col min="6" max="7" width="9" style="79"/>
    <col min="8" max="8" width="15.375" style="79" customWidth="1"/>
    <col min="9" max="10" width="11.125" style="79" customWidth="1"/>
    <col min="11" max="11" width="11.5" style="79" customWidth="1"/>
    <col min="12" max="16384" width="9" style="79"/>
  </cols>
  <sheetData>
    <row r="1" spans="1:12" x14ac:dyDescent="0.2">
      <c r="A1" s="76" t="s">
        <v>433</v>
      </c>
      <c r="B1" s="77"/>
      <c r="C1" s="77"/>
      <c r="D1" s="78"/>
      <c r="H1" s="158"/>
      <c r="I1" s="158"/>
      <c r="J1" s="158"/>
      <c r="K1" s="158"/>
    </row>
    <row r="2" spans="1:12" x14ac:dyDescent="0.2">
      <c r="A2" s="80" t="s">
        <v>367</v>
      </c>
      <c r="B2" s="81" t="s">
        <v>368</v>
      </c>
      <c r="C2" s="82" t="s">
        <v>369</v>
      </c>
      <c r="D2" s="82" t="s">
        <v>370</v>
      </c>
      <c r="H2" s="159"/>
      <c r="I2" s="160"/>
      <c r="J2" s="161"/>
      <c r="K2" s="161"/>
    </row>
    <row r="3" spans="1:12" x14ac:dyDescent="0.2">
      <c r="A3" s="85" t="s">
        <v>371</v>
      </c>
      <c r="B3" s="129">
        <v>4</v>
      </c>
      <c r="C3" s="87">
        <f>SUM(D3+B3-1)</f>
        <v>3</v>
      </c>
      <c r="D3" s="87">
        <v>0</v>
      </c>
      <c r="H3" s="162"/>
      <c r="I3" s="163"/>
      <c r="J3" s="161"/>
      <c r="K3" s="161"/>
    </row>
    <row r="4" spans="1:12" x14ac:dyDescent="0.2">
      <c r="A4" s="85" t="s">
        <v>372</v>
      </c>
      <c r="B4" s="129">
        <v>6</v>
      </c>
      <c r="C4" s="87">
        <f t="shared" ref="C4:C27" si="0">SUM(D4+B4-1)</f>
        <v>5</v>
      </c>
      <c r="D4" s="87">
        <v>0</v>
      </c>
      <c r="H4" s="162"/>
      <c r="I4" s="163"/>
      <c r="J4" s="161"/>
      <c r="K4" s="161"/>
    </row>
    <row r="5" spans="1:12" x14ac:dyDescent="0.2">
      <c r="A5" s="85" t="s">
        <v>373</v>
      </c>
      <c r="B5" s="129">
        <v>6</v>
      </c>
      <c r="C5" s="87">
        <f t="shared" si="0"/>
        <v>11</v>
      </c>
      <c r="D5" s="87">
        <f t="shared" ref="D5:D15" si="1">SUM(C4+1)</f>
        <v>6</v>
      </c>
      <c r="H5" s="162"/>
      <c r="I5" s="163"/>
      <c r="J5" s="161"/>
      <c r="K5" s="161"/>
    </row>
    <row r="6" spans="1:12" x14ac:dyDescent="0.2">
      <c r="A6" s="83" t="s">
        <v>374</v>
      </c>
      <c r="B6" s="113">
        <v>8</v>
      </c>
      <c r="C6" s="82">
        <f t="shared" si="0"/>
        <v>7</v>
      </c>
      <c r="D6" s="82">
        <v>0</v>
      </c>
      <c r="E6" s="177"/>
      <c r="H6" s="162"/>
      <c r="I6" s="163"/>
      <c r="J6" s="161"/>
      <c r="K6" s="161"/>
      <c r="L6" s="106"/>
    </row>
    <row r="7" spans="1:12" x14ac:dyDescent="0.2">
      <c r="A7" s="83" t="s">
        <v>434</v>
      </c>
      <c r="B7" s="113">
        <v>6</v>
      </c>
      <c r="C7" s="82">
        <f t="shared" si="0"/>
        <v>13</v>
      </c>
      <c r="D7" s="82">
        <f t="shared" si="1"/>
        <v>8</v>
      </c>
      <c r="H7" s="162"/>
      <c r="I7" s="163"/>
      <c r="J7" s="161"/>
      <c r="K7" s="161"/>
    </row>
    <row r="8" spans="1:12" x14ac:dyDescent="0.2">
      <c r="A8" s="83" t="s">
        <v>384</v>
      </c>
      <c r="B8" s="113">
        <v>4</v>
      </c>
      <c r="C8" s="82">
        <f t="shared" si="0"/>
        <v>17</v>
      </c>
      <c r="D8" s="82">
        <f t="shared" si="1"/>
        <v>14</v>
      </c>
      <c r="H8" s="162"/>
      <c r="I8" s="163"/>
      <c r="J8" s="161"/>
      <c r="K8" s="161"/>
    </row>
    <row r="9" spans="1:12" x14ac:dyDescent="0.2">
      <c r="A9" s="83" t="s">
        <v>414</v>
      </c>
      <c r="B9" s="113">
        <v>2</v>
      </c>
      <c r="C9" s="82">
        <f t="shared" si="0"/>
        <v>19</v>
      </c>
      <c r="D9" s="82">
        <f t="shared" si="1"/>
        <v>18</v>
      </c>
      <c r="H9" s="162"/>
      <c r="I9" s="163"/>
      <c r="J9" s="161"/>
      <c r="K9" s="161"/>
    </row>
    <row r="10" spans="1:12" x14ac:dyDescent="0.2">
      <c r="A10" s="88" t="s">
        <v>415</v>
      </c>
      <c r="B10" s="89">
        <v>3</v>
      </c>
      <c r="C10" s="90">
        <f t="shared" si="0"/>
        <v>22</v>
      </c>
      <c r="D10" s="90">
        <f t="shared" si="1"/>
        <v>20</v>
      </c>
      <c r="H10" s="162"/>
      <c r="I10" s="163"/>
      <c r="J10" s="161"/>
      <c r="K10" s="161"/>
    </row>
    <row r="11" spans="1:12" x14ac:dyDescent="0.2">
      <c r="A11" s="118" t="s">
        <v>416</v>
      </c>
      <c r="B11" s="89">
        <v>3</v>
      </c>
      <c r="C11" s="90">
        <f t="shared" si="0"/>
        <v>25</v>
      </c>
      <c r="D11" s="119">
        <f t="shared" si="1"/>
        <v>23</v>
      </c>
      <c r="H11" s="162"/>
      <c r="I11" s="162"/>
      <c r="J11" s="162"/>
      <c r="K11" s="162"/>
    </row>
    <row r="12" spans="1:12" x14ac:dyDescent="0.2">
      <c r="A12" s="95" t="s">
        <v>417</v>
      </c>
      <c r="B12" s="104">
        <v>0</v>
      </c>
      <c r="C12" s="104">
        <f t="shared" si="0"/>
        <v>25</v>
      </c>
      <c r="D12" s="103">
        <f t="shared" si="1"/>
        <v>26</v>
      </c>
      <c r="H12" s="162"/>
      <c r="I12" s="162"/>
      <c r="J12" s="162"/>
      <c r="K12" s="162"/>
    </row>
    <row r="13" spans="1:12" x14ac:dyDescent="0.2">
      <c r="A13" s="110" t="s">
        <v>435</v>
      </c>
      <c r="B13" s="97">
        <v>0</v>
      </c>
      <c r="C13" s="97">
        <f t="shared" si="0"/>
        <v>25</v>
      </c>
      <c r="D13" s="98">
        <f t="shared" si="1"/>
        <v>26</v>
      </c>
      <c r="H13" s="162"/>
      <c r="I13" s="162"/>
      <c r="J13" s="162"/>
      <c r="K13" s="162"/>
    </row>
    <row r="14" spans="1:12" x14ac:dyDescent="0.2">
      <c r="A14" s="105" t="s">
        <v>418</v>
      </c>
      <c r="B14" s="149">
        <v>0</v>
      </c>
      <c r="C14" s="101">
        <f t="shared" si="0"/>
        <v>25</v>
      </c>
      <c r="D14" s="101">
        <f t="shared" si="1"/>
        <v>26</v>
      </c>
      <c r="E14" s="178"/>
      <c r="H14" s="162"/>
      <c r="I14" s="162"/>
      <c r="J14" s="162"/>
      <c r="K14" s="162"/>
      <c r="L14" s="106"/>
    </row>
    <row r="15" spans="1:12" x14ac:dyDescent="0.2">
      <c r="A15" s="105" t="s">
        <v>419</v>
      </c>
      <c r="B15" s="111">
        <v>8</v>
      </c>
      <c r="C15" s="112">
        <f t="shared" si="0"/>
        <v>33</v>
      </c>
      <c r="D15" s="112">
        <f t="shared" si="1"/>
        <v>26</v>
      </c>
      <c r="E15" s="177"/>
      <c r="H15" s="162"/>
      <c r="I15" s="163"/>
      <c r="J15" s="161"/>
      <c r="K15" s="161"/>
      <c r="L15" s="106"/>
    </row>
    <row r="16" spans="1:12" x14ac:dyDescent="0.2">
      <c r="A16" s="83" t="s">
        <v>436</v>
      </c>
      <c r="B16" s="113">
        <v>2</v>
      </c>
      <c r="C16" s="82">
        <f t="shared" si="0"/>
        <v>35</v>
      </c>
      <c r="D16" s="112">
        <f t="shared" ref="D16:D25" si="2">SUM(C15+1)</f>
        <v>34</v>
      </c>
      <c r="H16" s="162"/>
      <c r="I16" s="163"/>
      <c r="J16" s="161"/>
      <c r="K16" s="161"/>
    </row>
    <row r="17" spans="1:11" x14ac:dyDescent="0.2">
      <c r="A17" s="83" t="s">
        <v>437</v>
      </c>
      <c r="B17" s="113">
        <v>2</v>
      </c>
      <c r="C17" s="82">
        <f t="shared" si="0"/>
        <v>37</v>
      </c>
      <c r="D17" s="112">
        <f t="shared" si="2"/>
        <v>36</v>
      </c>
      <c r="H17" s="162"/>
      <c r="I17" s="163"/>
      <c r="J17" s="161"/>
      <c r="K17" s="161"/>
    </row>
    <row r="18" spans="1:11" x14ac:dyDescent="0.2">
      <c r="A18" s="85" t="s">
        <v>401</v>
      </c>
      <c r="B18" s="129">
        <v>0</v>
      </c>
      <c r="C18" s="87">
        <f t="shared" si="0"/>
        <v>37</v>
      </c>
      <c r="D18" s="101">
        <f t="shared" si="2"/>
        <v>38</v>
      </c>
      <c r="H18" s="162"/>
      <c r="I18" s="163"/>
      <c r="J18" s="161"/>
      <c r="K18" s="161"/>
    </row>
    <row r="19" spans="1:11" x14ac:dyDescent="0.2">
      <c r="A19" s="85" t="s">
        <v>438</v>
      </c>
      <c r="B19" s="129">
        <v>0</v>
      </c>
      <c r="C19" s="87">
        <f t="shared" si="0"/>
        <v>37</v>
      </c>
      <c r="D19" s="101">
        <f>SUM(C17+1)</f>
        <v>38</v>
      </c>
      <c r="H19" s="162"/>
      <c r="I19" s="163"/>
      <c r="J19" s="161"/>
      <c r="K19" s="161"/>
    </row>
    <row r="20" spans="1:11" x14ac:dyDescent="0.2">
      <c r="A20" s="85" t="s">
        <v>439</v>
      </c>
      <c r="B20" s="129">
        <v>0</v>
      </c>
      <c r="C20" s="87">
        <f t="shared" si="0"/>
        <v>37</v>
      </c>
      <c r="D20" s="101">
        <f t="shared" si="2"/>
        <v>38</v>
      </c>
      <c r="H20" s="162"/>
      <c r="I20" s="163"/>
      <c r="J20" s="161"/>
      <c r="K20" s="161"/>
    </row>
    <row r="21" spans="1:11" x14ac:dyDescent="0.2">
      <c r="A21" s="83" t="s">
        <v>402</v>
      </c>
      <c r="B21" s="113">
        <v>1</v>
      </c>
      <c r="C21" s="82">
        <f t="shared" si="0"/>
        <v>38</v>
      </c>
      <c r="D21" s="112">
        <f>SUM(C17+1)</f>
        <v>38</v>
      </c>
      <c r="H21" s="162"/>
      <c r="I21" s="163"/>
      <c r="J21" s="161"/>
      <c r="K21" s="161"/>
    </row>
    <row r="22" spans="1:11" x14ac:dyDescent="0.2">
      <c r="A22" s="85" t="s">
        <v>440</v>
      </c>
      <c r="B22" s="87">
        <v>0</v>
      </c>
      <c r="C22" s="87">
        <f t="shared" si="0"/>
        <v>38</v>
      </c>
      <c r="D22" s="101">
        <f t="shared" si="2"/>
        <v>39</v>
      </c>
      <c r="H22" s="162"/>
      <c r="I22" s="161"/>
      <c r="J22" s="161"/>
      <c r="K22" s="161"/>
    </row>
    <row r="23" spans="1:11" x14ac:dyDescent="0.2">
      <c r="A23" s="85" t="s">
        <v>441</v>
      </c>
      <c r="B23" s="129">
        <v>32</v>
      </c>
      <c r="C23" s="87">
        <f t="shared" si="0"/>
        <v>70</v>
      </c>
      <c r="D23" s="101">
        <f t="shared" si="2"/>
        <v>39</v>
      </c>
      <c r="H23" s="162"/>
      <c r="I23" s="163"/>
      <c r="J23" s="161"/>
      <c r="K23" s="161"/>
    </row>
    <row r="24" spans="1:11" x14ac:dyDescent="0.2">
      <c r="A24" s="83" t="s">
        <v>442</v>
      </c>
      <c r="B24" s="113">
        <v>256</v>
      </c>
      <c r="C24" s="82">
        <f t="shared" si="0"/>
        <v>294</v>
      </c>
      <c r="D24" s="112">
        <f>SUM(C21+1)</f>
        <v>39</v>
      </c>
      <c r="H24" s="162"/>
      <c r="I24" s="163"/>
      <c r="J24" s="161"/>
      <c r="K24" s="161"/>
    </row>
    <row r="25" spans="1:11" x14ac:dyDescent="0.2">
      <c r="A25" s="85" t="s">
        <v>443</v>
      </c>
      <c r="B25" s="87">
        <v>0</v>
      </c>
      <c r="C25" s="87">
        <f t="shared" si="0"/>
        <v>294</v>
      </c>
      <c r="D25" s="101">
        <f t="shared" si="2"/>
        <v>295</v>
      </c>
      <c r="H25" s="162"/>
      <c r="I25" s="163"/>
      <c r="J25" s="161"/>
      <c r="K25" s="161"/>
    </row>
    <row r="26" spans="1:11" x14ac:dyDescent="0.2">
      <c r="A26" s="85" t="s">
        <v>444</v>
      </c>
      <c r="B26" s="87">
        <v>1</v>
      </c>
      <c r="C26" s="87">
        <f t="shared" si="0"/>
        <v>295</v>
      </c>
      <c r="D26" s="101">
        <f>SUM(C24+1)</f>
        <v>295</v>
      </c>
      <c r="H26" s="162"/>
      <c r="I26" s="161"/>
      <c r="J26" s="161"/>
      <c r="K26" s="161"/>
    </row>
    <row r="27" spans="1:11" x14ac:dyDescent="0.2">
      <c r="A27" s="164" t="s">
        <v>422</v>
      </c>
      <c r="B27" s="122">
        <v>1</v>
      </c>
      <c r="C27" s="122">
        <f t="shared" si="0"/>
        <v>295</v>
      </c>
      <c r="D27" s="165">
        <f>SUM(C24+1)</f>
        <v>295</v>
      </c>
      <c r="H27" s="162"/>
      <c r="I27" s="161"/>
      <c r="J27" s="161"/>
      <c r="K27" s="161"/>
    </row>
    <row r="28" spans="1:11" x14ac:dyDescent="0.2">
      <c r="D28" s="112">
        <f>SUM(C27+1)</f>
        <v>296</v>
      </c>
      <c r="H28" s="162"/>
      <c r="I28" s="163"/>
      <c r="J28" s="161"/>
      <c r="K28" s="161"/>
    </row>
    <row r="29" spans="1:11" x14ac:dyDescent="0.2">
      <c r="H29" s="162"/>
      <c r="I29" s="161"/>
      <c r="J29" s="161"/>
      <c r="K29" s="161"/>
    </row>
    <row r="30" spans="1:11" x14ac:dyDescent="0.2">
      <c r="H30" s="138"/>
      <c r="I30" s="138"/>
      <c r="J30" s="138"/>
      <c r="K30" s="161"/>
    </row>
    <row r="32" spans="1:11" x14ac:dyDescent="0.2">
      <c r="A32" s="76" t="s">
        <v>445</v>
      </c>
      <c r="B32" s="77"/>
      <c r="C32" s="77"/>
      <c r="D32" s="78"/>
    </row>
    <row r="33" spans="1:5" x14ac:dyDescent="0.2">
      <c r="A33" s="80" t="s">
        <v>367</v>
      </c>
      <c r="B33" s="81" t="s">
        <v>368</v>
      </c>
      <c r="C33" s="82" t="s">
        <v>369</v>
      </c>
      <c r="D33" s="82" t="s">
        <v>370</v>
      </c>
    </row>
    <row r="34" spans="1:5" x14ac:dyDescent="0.2">
      <c r="A34" s="85" t="s">
        <v>371</v>
      </c>
      <c r="B34" s="129">
        <v>4</v>
      </c>
      <c r="C34" s="87">
        <f>SUM(D34+B34-1)</f>
        <v>3</v>
      </c>
      <c r="D34" s="87">
        <v>0</v>
      </c>
    </row>
    <row r="35" spans="1:5" x14ac:dyDescent="0.2">
      <c r="A35" s="83" t="s">
        <v>372</v>
      </c>
      <c r="B35" s="113">
        <v>6</v>
      </c>
      <c r="C35" s="82">
        <f t="shared" ref="C35:C61" si="3">SUM(D35+B35-1)</f>
        <v>5</v>
      </c>
      <c r="D35" s="82">
        <v>0</v>
      </c>
    </row>
    <row r="36" spans="1:5" x14ac:dyDescent="0.2">
      <c r="A36" s="85" t="s">
        <v>373</v>
      </c>
      <c r="B36" s="129">
        <v>0</v>
      </c>
      <c r="C36" s="87">
        <f t="shared" si="3"/>
        <v>5</v>
      </c>
      <c r="D36" s="87">
        <f t="shared" ref="D36:D48" si="4">SUM(C35+1)</f>
        <v>6</v>
      </c>
    </row>
    <row r="37" spans="1:5" x14ac:dyDescent="0.2">
      <c r="A37" s="83" t="s">
        <v>374</v>
      </c>
      <c r="B37" s="113">
        <v>8</v>
      </c>
      <c r="C37" s="82">
        <f t="shared" si="3"/>
        <v>13</v>
      </c>
      <c r="D37" s="82">
        <f t="shared" si="4"/>
        <v>6</v>
      </c>
      <c r="E37" s="177"/>
    </row>
    <row r="38" spans="1:5" x14ac:dyDescent="0.2">
      <c r="A38" s="83" t="s">
        <v>434</v>
      </c>
      <c r="B38" s="113">
        <v>4</v>
      </c>
      <c r="C38" s="82">
        <f t="shared" si="3"/>
        <v>17</v>
      </c>
      <c r="D38" s="82">
        <f t="shared" si="4"/>
        <v>14</v>
      </c>
    </row>
    <row r="39" spans="1:5" x14ac:dyDescent="0.2">
      <c r="A39" s="83" t="s">
        <v>446</v>
      </c>
      <c r="B39" s="129">
        <v>2</v>
      </c>
      <c r="C39" s="87">
        <f t="shared" si="3"/>
        <v>19</v>
      </c>
      <c r="D39" s="87">
        <f t="shared" si="4"/>
        <v>18</v>
      </c>
    </row>
    <row r="40" spans="1:5" x14ac:dyDescent="0.2">
      <c r="A40" s="83" t="s">
        <v>447</v>
      </c>
      <c r="B40" s="129">
        <v>4</v>
      </c>
      <c r="C40" s="87">
        <f t="shared" si="3"/>
        <v>23</v>
      </c>
      <c r="D40" s="87">
        <f t="shared" si="4"/>
        <v>20</v>
      </c>
    </row>
    <row r="41" spans="1:5" x14ac:dyDescent="0.2">
      <c r="A41" s="83" t="s">
        <v>384</v>
      </c>
      <c r="B41" s="113">
        <v>4</v>
      </c>
      <c r="C41" s="82">
        <f t="shared" si="3"/>
        <v>21</v>
      </c>
      <c r="D41" s="82">
        <f>SUM(C38+1)</f>
        <v>18</v>
      </c>
    </row>
    <row r="42" spans="1:5" x14ac:dyDescent="0.2">
      <c r="A42" s="83" t="s">
        <v>414</v>
      </c>
      <c r="B42" s="113">
        <v>2</v>
      </c>
      <c r="C42" s="82">
        <f t="shared" si="3"/>
        <v>23</v>
      </c>
      <c r="D42" s="82">
        <f t="shared" si="4"/>
        <v>22</v>
      </c>
    </row>
    <row r="43" spans="1:5" x14ac:dyDescent="0.2">
      <c r="A43" s="88" t="s">
        <v>415</v>
      </c>
      <c r="B43" s="89">
        <v>3</v>
      </c>
      <c r="C43" s="90">
        <f t="shared" si="3"/>
        <v>26</v>
      </c>
      <c r="D43" s="90">
        <f t="shared" si="4"/>
        <v>24</v>
      </c>
    </row>
    <row r="44" spans="1:5" x14ac:dyDescent="0.2">
      <c r="A44" s="91" t="s">
        <v>416</v>
      </c>
      <c r="B44" s="133">
        <v>3</v>
      </c>
      <c r="C44" s="93">
        <f t="shared" si="3"/>
        <v>29</v>
      </c>
      <c r="D44" s="94">
        <f t="shared" si="4"/>
        <v>27</v>
      </c>
    </row>
    <row r="45" spans="1:5" x14ac:dyDescent="0.2">
      <c r="A45" s="95" t="s">
        <v>417</v>
      </c>
      <c r="B45" s="104">
        <v>0</v>
      </c>
      <c r="C45" s="104">
        <f t="shared" si="3"/>
        <v>29</v>
      </c>
      <c r="D45" s="103">
        <f t="shared" si="4"/>
        <v>30</v>
      </c>
    </row>
    <row r="46" spans="1:5" x14ac:dyDescent="0.2">
      <c r="A46" s="110" t="s">
        <v>435</v>
      </c>
      <c r="B46" s="97">
        <v>0</v>
      </c>
      <c r="C46" s="97">
        <f t="shared" si="3"/>
        <v>29</v>
      </c>
      <c r="D46" s="98">
        <f t="shared" si="4"/>
        <v>30</v>
      </c>
    </row>
    <row r="47" spans="1:5" x14ac:dyDescent="0.2">
      <c r="A47" s="121" t="s">
        <v>418</v>
      </c>
      <c r="B47" s="149">
        <v>0</v>
      </c>
      <c r="C47" s="101">
        <f t="shared" si="3"/>
        <v>29</v>
      </c>
      <c r="D47" s="101">
        <f t="shared" si="4"/>
        <v>30</v>
      </c>
      <c r="E47" s="178"/>
    </row>
    <row r="48" spans="1:5" x14ac:dyDescent="0.2">
      <c r="A48" s="121" t="s">
        <v>419</v>
      </c>
      <c r="B48" s="149">
        <v>8</v>
      </c>
      <c r="C48" s="101">
        <f t="shared" si="3"/>
        <v>37</v>
      </c>
      <c r="D48" s="101">
        <f t="shared" si="4"/>
        <v>30</v>
      </c>
      <c r="E48" s="177"/>
    </row>
    <row r="49" spans="1:4" x14ac:dyDescent="0.2">
      <c r="A49" s="83" t="s">
        <v>436</v>
      </c>
      <c r="B49" s="113">
        <v>2</v>
      </c>
      <c r="C49" s="82">
        <f t="shared" si="3"/>
        <v>28</v>
      </c>
      <c r="D49" s="112">
        <f>SUM(C43+1)</f>
        <v>27</v>
      </c>
    </row>
    <row r="50" spans="1:4" x14ac:dyDescent="0.2">
      <c r="A50" s="85" t="s">
        <v>437</v>
      </c>
      <c r="B50" s="129">
        <v>2</v>
      </c>
      <c r="C50" s="87">
        <f t="shared" si="3"/>
        <v>30</v>
      </c>
      <c r="D50" s="101">
        <f t="shared" ref="D50:D51" si="5">SUM(C49+1)</f>
        <v>29</v>
      </c>
    </row>
    <row r="51" spans="1:4" x14ac:dyDescent="0.2">
      <c r="A51" s="85" t="s">
        <v>401</v>
      </c>
      <c r="B51" s="129">
        <v>0</v>
      </c>
      <c r="C51" s="87">
        <f t="shared" si="3"/>
        <v>30</v>
      </c>
      <c r="D51" s="101">
        <f t="shared" si="5"/>
        <v>31</v>
      </c>
    </row>
    <row r="52" spans="1:4" x14ac:dyDescent="0.2">
      <c r="A52" s="85" t="s">
        <v>438</v>
      </c>
      <c r="B52" s="129">
        <v>0</v>
      </c>
      <c r="C52" s="87">
        <f t="shared" si="3"/>
        <v>30</v>
      </c>
      <c r="D52" s="101">
        <f>SUM(C50+1)</f>
        <v>31</v>
      </c>
    </row>
    <row r="53" spans="1:4" x14ac:dyDescent="0.2">
      <c r="A53" s="85" t="s">
        <v>439</v>
      </c>
      <c r="B53" s="129">
        <v>0</v>
      </c>
      <c r="C53" s="87">
        <f t="shared" si="3"/>
        <v>30</v>
      </c>
      <c r="D53" s="101">
        <f t="shared" ref="D53" si="6">SUM(C52+1)</f>
        <v>31</v>
      </c>
    </row>
    <row r="54" spans="1:4" x14ac:dyDescent="0.2">
      <c r="A54" s="85" t="s">
        <v>402</v>
      </c>
      <c r="B54" s="129">
        <v>1</v>
      </c>
      <c r="C54" s="87">
        <f t="shared" si="3"/>
        <v>29</v>
      </c>
      <c r="D54" s="101">
        <f>SUM(C49+1)</f>
        <v>29</v>
      </c>
    </row>
    <row r="55" spans="1:4" x14ac:dyDescent="0.2">
      <c r="A55" s="85" t="s">
        <v>440</v>
      </c>
      <c r="B55" s="87">
        <v>0</v>
      </c>
      <c r="C55" s="87">
        <f t="shared" si="3"/>
        <v>29</v>
      </c>
      <c r="D55" s="101">
        <f t="shared" ref="D55:D58" si="7">SUM(C54+1)</f>
        <v>30</v>
      </c>
    </row>
    <row r="56" spans="1:4" x14ac:dyDescent="0.2">
      <c r="A56" s="83" t="s">
        <v>441</v>
      </c>
      <c r="B56" s="113">
        <v>64</v>
      </c>
      <c r="C56" s="82">
        <f t="shared" si="3"/>
        <v>92</v>
      </c>
      <c r="D56" s="112">
        <f>SUM(C49+1)</f>
        <v>29</v>
      </c>
    </row>
    <row r="57" spans="1:4" x14ac:dyDescent="0.2">
      <c r="A57" s="83" t="s">
        <v>442</v>
      </c>
      <c r="B57" s="113">
        <v>512</v>
      </c>
      <c r="C57" s="82">
        <f t="shared" si="3"/>
        <v>604</v>
      </c>
      <c r="D57" s="112">
        <f t="shared" si="7"/>
        <v>93</v>
      </c>
    </row>
    <row r="58" spans="1:4" x14ac:dyDescent="0.2">
      <c r="A58" s="85" t="s">
        <v>443</v>
      </c>
      <c r="B58" s="87">
        <v>0</v>
      </c>
      <c r="C58" s="87">
        <f t="shared" si="3"/>
        <v>604</v>
      </c>
      <c r="D58" s="101">
        <f t="shared" si="7"/>
        <v>605</v>
      </c>
    </row>
    <row r="59" spans="1:4" x14ac:dyDescent="0.2">
      <c r="A59" s="85" t="s">
        <v>444</v>
      </c>
      <c r="B59" s="87">
        <v>1</v>
      </c>
      <c r="C59" s="87">
        <f t="shared" si="3"/>
        <v>605</v>
      </c>
      <c r="D59" s="101">
        <f>SUM(C57+1)</f>
        <v>605</v>
      </c>
    </row>
    <row r="60" spans="1:4" ht="37.9" customHeight="1" x14ac:dyDescent="0.2">
      <c r="A60" s="83" t="s">
        <v>448</v>
      </c>
      <c r="B60" s="82">
        <v>2</v>
      </c>
      <c r="C60" s="82">
        <f t="shared" si="3"/>
        <v>606</v>
      </c>
      <c r="D60" s="82">
        <f>SUM(C57+1)</f>
        <v>605</v>
      </c>
    </row>
    <row r="61" spans="1:4" x14ac:dyDescent="0.2">
      <c r="A61" s="83" t="s">
        <v>449</v>
      </c>
      <c r="B61" s="82">
        <v>1</v>
      </c>
      <c r="C61" s="82">
        <f t="shared" si="3"/>
        <v>607</v>
      </c>
      <c r="D61" s="82">
        <f>SUM(C60+1)</f>
        <v>607</v>
      </c>
    </row>
    <row r="62" spans="1:4" x14ac:dyDescent="0.2">
      <c r="D62" s="112">
        <f>SUM(C61+1)</f>
        <v>608</v>
      </c>
    </row>
    <row r="68" spans="1:5" x14ac:dyDescent="0.2">
      <c r="A68" s="76" t="s">
        <v>450</v>
      </c>
      <c r="B68" s="77"/>
      <c r="C68" s="77"/>
      <c r="D68" s="78"/>
    </row>
    <row r="69" spans="1:5" x14ac:dyDescent="0.2">
      <c r="A69" s="80" t="s">
        <v>367</v>
      </c>
      <c r="B69" s="81" t="s">
        <v>368</v>
      </c>
      <c r="C69" s="82" t="s">
        <v>369</v>
      </c>
      <c r="D69" s="82" t="s">
        <v>370</v>
      </c>
    </row>
    <row r="70" spans="1:5" x14ac:dyDescent="0.2">
      <c r="A70" s="85" t="s">
        <v>371</v>
      </c>
      <c r="B70" s="129">
        <v>4</v>
      </c>
      <c r="C70" s="87">
        <f>SUM(D70+B70-1)</f>
        <v>3</v>
      </c>
      <c r="D70" s="87">
        <v>0</v>
      </c>
    </row>
    <row r="71" spans="1:5" x14ac:dyDescent="0.2">
      <c r="A71" s="83" t="s">
        <v>372</v>
      </c>
      <c r="B71" s="113">
        <v>6</v>
      </c>
      <c r="C71" s="82">
        <f t="shared" ref="C71:C95" si="8">SUM(D71+B71-1)</f>
        <v>5</v>
      </c>
      <c r="D71" s="82">
        <v>0</v>
      </c>
    </row>
    <row r="72" spans="1:5" x14ac:dyDescent="0.2">
      <c r="A72" s="83" t="s">
        <v>373</v>
      </c>
      <c r="B72" s="113">
        <v>0</v>
      </c>
      <c r="C72" s="82">
        <f t="shared" si="8"/>
        <v>5</v>
      </c>
      <c r="D72" s="82">
        <f t="shared" ref="D72:D76" si="9">SUM(C71+1)</f>
        <v>6</v>
      </c>
    </row>
    <row r="73" spans="1:5" x14ac:dyDescent="0.2">
      <c r="A73" s="83" t="s">
        <v>374</v>
      </c>
      <c r="B73" s="113">
        <v>8</v>
      </c>
      <c r="C73" s="82">
        <f t="shared" si="8"/>
        <v>13</v>
      </c>
      <c r="D73" s="82">
        <f t="shared" si="9"/>
        <v>6</v>
      </c>
      <c r="E73" s="177"/>
    </row>
    <row r="74" spans="1:5" x14ac:dyDescent="0.2">
      <c r="A74" s="83" t="s">
        <v>434</v>
      </c>
      <c r="B74" s="113">
        <v>4</v>
      </c>
      <c r="C74" s="82">
        <f t="shared" si="8"/>
        <v>17</v>
      </c>
      <c r="D74" s="82">
        <f t="shared" si="9"/>
        <v>14</v>
      </c>
    </row>
    <row r="75" spans="1:5" x14ac:dyDescent="0.2">
      <c r="A75" s="83" t="s">
        <v>446</v>
      </c>
      <c r="B75" s="129">
        <v>2</v>
      </c>
      <c r="C75" s="87">
        <f t="shared" si="8"/>
        <v>19</v>
      </c>
      <c r="D75" s="87">
        <f t="shared" si="9"/>
        <v>18</v>
      </c>
    </row>
    <row r="76" spans="1:5" x14ac:dyDescent="0.2">
      <c r="A76" s="83" t="s">
        <v>447</v>
      </c>
      <c r="B76" s="129">
        <v>4</v>
      </c>
      <c r="C76" s="87">
        <f t="shared" si="8"/>
        <v>23</v>
      </c>
      <c r="D76" s="87">
        <f t="shared" si="9"/>
        <v>20</v>
      </c>
    </row>
    <row r="77" spans="1:5" x14ac:dyDescent="0.2">
      <c r="A77" s="83" t="s">
        <v>384</v>
      </c>
      <c r="B77" s="113">
        <v>4</v>
      </c>
      <c r="C77" s="82">
        <f t="shared" si="8"/>
        <v>21</v>
      </c>
      <c r="D77" s="82">
        <f>SUM(C74+1)</f>
        <v>18</v>
      </c>
    </row>
    <row r="78" spans="1:5" x14ac:dyDescent="0.2">
      <c r="A78" s="83" t="s">
        <v>414</v>
      </c>
      <c r="B78" s="113">
        <v>2</v>
      </c>
      <c r="C78" s="82">
        <f t="shared" si="8"/>
        <v>23</v>
      </c>
      <c r="D78" s="82">
        <f t="shared" ref="D78:D84" si="10">SUM(C77+1)</f>
        <v>22</v>
      </c>
    </row>
    <row r="79" spans="1:5" x14ac:dyDescent="0.2">
      <c r="A79" s="88" t="s">
        <v>415</v>
      </c>
      <c r="B79" s="89">
        <v>3</v>
      </c>
      <c r="C79" s="90">
        <f t="shared" si="8"/>
        <v>26</v>
      </c>
      <c r="D79" s="90">
        <f t="shared" si="10"/>
        <v>24</v>
      </c>
    </row>
    <row r="80" spans="1:5" x14ac:dyDescent="0.2">
      <c r="A80" s="91" t="s">
        <v>416</v>
      </c>
      <c r="B80" s="133">
        <v>3</v>
      </c>
      <c r="C80" s="93">
        <f t="shared" si="8"/>
        <v>29</v>
      </c>
      <c r="D80" s="94">
        <f t="shared" si="10"/>
        <v>27</v>
      </c>
    </row>
    <row r="81" spans="1:5" x14ac:dyDescent="0.2">
      <c r="A81" s="95" t="s">
        <v>417</v>
      </c>
      <c r="B81" s="104">
        <v>0</v>
      </c>
      <c r="C81" s="104">
        <f t="shared" si="8"/>
        <v>29</v>
      </c>
      <c r="D81" s="103">
        <f t="shared" si="10"/>
        <v>30</v>
      </c>
    </row>
    <row r="82" spans="1:5" x14ac:dyDescent="0.2">
      <c r="A82" s="110" t="s">
        <v>435</v>
      </c>
      <c r="B82" s="97">
        <v>0</v>
      </c>
      <c r="C82" s="97">
        <f t="shared" si="8"/>
        <v>29</v>
      </c>
      <c r="D82" s="98">
        <f t="shared" si="10"/>
        <v>30</v>
      </c>
    </row>
    <row r="83" spans="1:5" x14ac:dyDescent="0.2">
      <c r="A83" s="105" t="s">
        <v>418</v>
      </c>
      <c r="B83" s="149">
        <v>0</v>
      </c>
      <c r="C83" s="101">
        <f t="shared" si="8"/>
        <v>29</v>
      </c>
      <c r="D83" s="101">
        <f t="shared" si="10"/>
        <v>30</v>
      </c>
      <c r="E83" s="178"/>
    </row>
    <row r="84" spans="1:5" x14ac:dyDescent="0.2">
      <c r="A84" s="121" t="s">
        <v>419</v>
      </c>
      <c r="B84" s="149">
        <v>8</v>
      </c>
      <c r="C84" s="101">
        <f t="shared" si="8"/>
        <v>37</v>
      </c>
      <c r="D84" s="101">
        <f t="shared" si="10"/>
        <v>30</v>
      </c>
      <c r="E84" s="177"/>
    </row>
    <row r="85" spans="1:5" x14ac:dyDescent="0.2">
      <c r="A85" s="83" t="s">
        <v>436</v>
      </c>
      <c r="B85" s="113">
        <v>2</v>
      </c>
      <c r="C85" s="82">
        <f t="shared" si="8"/>
        <v>28</v>
      </c>
      <c r="D85" s="112">
        <f>SUM(C79+1)</f>
        <v>27</v>
      </c>
    </row>
    <row r="86" spans="1:5" x14ac:dyDescent="0.2">
      <c r="A86" s="83" t="s">
        <v>437</v>
      </c>
      <c r="B86" s="113">
        <v>2</v>
      </c>
      <c r="C86" s="82">
        <f t="shared" si="8"/>
        <v>30</v>
      </c>
      <c r="D86" s="112">
        <f t="shared" ref="D86:D87" si="11">SUM(C85+1)</f>
        <v>29</v>
      </c>
    </row>
    <row r="87" spans="1:5" x14ac:dyDescent="0.2">
      <c r="A87" s="85" t="s">
        <v>401</v>
      </c>
      <c r="B87" s="129">
        <v>0</v>
      </c>
      <c r="C87" s="87">
        <f t="shared" si="8"/>
        <v>30</v>
      </c>
      <c r="D87" s="101">
        <f t="shared" si="11"/>
        <v>31</v>
      </c>
    </row>
    <row r="88" spans="1:5" x14ac:dyDescent="0.2">
      <c r="A88" s="85" t="s">
        <v>438</v>
      </c>
      <c r="B88" s="129">
        <v>0</v>
      </c>
      <c r="C88" s="87">
        <f t="shared" si="8"/>
        <v>30</v>
      </c>
      <c r="D88" s="101">
        <f>SUM(C86+1)</f>
        <v>31</v>
      </c>
    </row>
    <row r="89" spans="1:5" x14ac:dyDescent="0.2">
      <c r="A89" s="85" t="s">
        <v>439</v>
      </c>
      <c r="B89" s="129">
        <v>0</v>
      </c>
      <c r="C89" s="87">
        <f t="shared" si="8"/>
        <v>30</v>
      </c>
      <c r="D89" s="101">
        <f t="shared" ref="D89" si="12">SUM(C88+1)</f>
        <v>31</v>
      </c>
    </row>
    <row r="90" spans="1:5" x14ac:dyDescent="0.2">
      <c r="A90" s="85" t="s">
        <v>402</v>
      </c>
      <c r="B90" s="129">
        <v>1</v>
      </c>
      <c r="C90" s="87">
        <f t="shared" si="8"/>
        <v>29</v>
      </c>
      <c r="D90" s="101">
        <f>SUM(C85+1)</f>
        <v>29</v>
      </c>
    </row>
    <row r="91" spans="1:5" x14ac:dyDescent="0.2">
      <c r="A91" s="85" t="s">
        <v>440</v>
      </c>
      <c r="B91" s="87">
        <v>0</v>
      </c>
      <c r="C91" s="87">
        <f t="shared" si="8"/>
        <v>29</v>
      </c>
      <c r="D91" s="101">
        <f t="shared" ref="D91" si="13">SUM(C90+1)</f>
        <v>30</v>
      </c>
    </row>
    <row r="92" spans="1:5" x14ac:dyDescent="0.2">
      <c r="A92" s="83" t="s">
        <v>441</v>
      </c>
      <c r="B92" s="113">
        <v>32</v>
      </c>
      <c r="C92" s="82">
        <f t="shared" si="8"/>
        <v>62</v>
      </c>
      <c r="D92" s="112">
        <f>SUM(C86+1)</f>
        <v>31</v>
      </c>
    </row>
    <row r="93" spans="1:5" x14ac:dyDescent="0.2">
      <c r="A93" s="83" t="s">
        <v>442</v>
      </c>
      <c r="B93" s="113">
        <v>256</v>
      </c>
      <c r="C93" s="82">
        <f t="shared" si="8"/>
        <v>318</v>
      </c>
      <c r="D93" s="112">
        <f t="shared" ref="D93:D94" si="14">SUM(C92+1)</f>
        <v>63</v>
      </c>
    </row>
    <row r="94" spans="1:5" x14ac:dyDescent="0.2">
      <c r="A94" s="85" t="s">
        <v>443</v>
      </c>
      <c r="B94" s="87">
        <v>0</v>
      </c>
      <c r="C94" s="87">
        <f t="shared" si="8"/>
        <v>318</v>
      </c>
      <c r="D94" s="101">
        <f t="shared" si="14"/>
        <v>319</v>
      </c>
    </row>
    <row r="95" spans="1:5" x14ac:dyDescent="0.2">
      <c r="A95" s="85" t="s">
        <v>444</v>
      </c>
      <c r="B95" s="87">
        <v>1</v>
      </c>
      <c r="C95" s="87">
        <f t="shared" si="8"/>
        <v>319</v>
      </c>
      <c r="D95" s="101">
        <f>SUM(C93+1)</f>
        <v>319</v>
      </c>
    </row>
    <row r="96" spans="1:5" x14ac:dyDescent="0.2">
      <c r="D96" s="112">
        <f>SUM(C93+1)</f>
        <v>319</v>
      </c>
    </row>
  </sheetData>
  <sheetProtection formatCells="0" insertHyperlinks="0" autoFilter="0"/>
  <mergeCells count="4">
    <mergeCell ref="A1:D1"/>
    <mergeCell ref="H1:K1"/>
    <mergeCell ref="A32:D32"/>
    <mergeCell ref="A68:D68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CHI_Core_CSU_ALL</vt:lpstr>
      <vt:lpstr>CHI CSU_SoC_Opcode</vt:lpstr>
      <vt:lpstr>CHI CSU_SoC_ReqFlit field</vt:lpstr>
      <vt:lpstr>CHI CSU_SoC_RspFlit field</vt:lpstr>
      <vt:lpstr>CHI CSU_SoC_SnpFlit field</vt:lpstr>
      <vt:lpstr>CHI CSU_SoC_DataFlit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Zhouyongbin</dc:creator>
  <cp:lastModifiedBy>Zhouyongbin</cp:lastModifiedBy>
  <dcterms:created xsi:type="dcterms:W3CDTF">2026-03-27T08:04:21Z</dcterms:created>
  <dcterms:modified xsi:type="dcterms:W3CDTF">2026-03-27T08:31:36Z</dcterms:modified>
</cp:coreProperties>
</file>